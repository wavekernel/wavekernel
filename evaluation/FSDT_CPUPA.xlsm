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theme/themeOverride1.xml" ContentType="application/vnd.openxmlformats-officedocument.themeOverrid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80" yWindow="105" windowWidth="15480" windowHeight="11625" tabRatio="828"/>
  </bookViews>
  <sheets>
    <sheet name="TOP" sheetId="32" r:id="rId1"/>
    <sheet name="graph_data" sheetId="30" r:id="rId2"/>
    <sheet name="data_FX10" sheetId="20" r:id="rId3"/>
    <sheet name="MEM_throughput" sheetId="34" r:id="rId4"/>
    <sheet name="Version" sheetId="33" r:id="rId5"/>
  </sheets>
  <functionGroups builtInGroupCount="17"/>
  <definedNames>
    <definedName name="_xlnm.Print_Area" localSheetId="0">TOP!$B$1:$Z$199</definedName>
  </definedNames>
  <calcPr calcId="145621"/>
</workbook>
</file>

<file path=xl/calcChain.xml><?xml version="1.0" encoding="utf-8"?>
<calcChain xmlns="http://schemas.openxmlformats.org/spreadsheetml/2006/main">
  <c r="EG3" i="20" l="1"/>
  <c r="EG22" i="20"/>
  <c r="EG21" i="20"/>
  <c r="EG20" i="20"/>
  <c r="EG19" i="20"/>
  <c r="EG18" i="20"/>
  <c r="EG17" i="20"/>
  <c r="EG16" i="20"/>
  <c r="EG15" i="20"/>
  <c r="EG14" i="20"/>
  <c r="EG13" i="20"/>
  <c r="EG12" i="20"/>
  <c r="EG11" i="20"/>
  <c r="EG10" i="20"/>
  <c r="EG9" i="20"/>
  <c r="EG8" i="20"/>
  <c r="EG7" i="20"/>
  <c r="EG6" i="20"/>
  <c r="EG5" i="20"/>
  <c r="EG4" i="20"/>
  <c r="EH6" i="20" l="1"/>
  <c r="EH7" i="20"/>
  <c r="EH8" i="20"/>
  <c r="EH9" i="20"/>
  <c r="EH10" i="20"/>
  <c r="EH11" i="20"/>
  <c r="EH12" i="20"/>
  <c r="EH13" i="20"/>
  <c r="EH14" i="20"/>
  <c r="EH15" i="20"/>
  <c r="EH16" i="20"/>
  <c r="EH17" i="20"/>
  <c r="EH18" i="20"/>
  <c r="EH19" i="20"/>
  <c r="EH20" i="20"/>
  <c r="EH21" i="20"/>
  <c r="EH22" i="20"/>
  <c r="EH5" i="20"/>
  <c r="EH4" i="20"/>
  <c r="EH3" i="20"/>
  <c r="EL1" i="20" l="1"/>
  <c r="EN1" i="20"/>
  <c r="EJ1" i="20"/>
  <c r="EH23" i="20"/>
  <c r="EK23" i="20" s="1"/>
  <c r="C21" i="34"/>
  <c r="D21" i="34" s="1"/>
  <c r="C20" i="34"/>
  <c r="D20" i="34" s="1"/>
  <c r="C19" i="34"/>
  <c r="D19" i="34" s="1"/>
  <c r="C18" i="34"/>
  <c r="D18" i="34" s="1"/>
  <c r="C17" i="34"/>
  <c r="D17" i="34" s="1"/>
  <c r="C16" i="34"/>
  <c r="D16" i="34" s="1"/>
  <c r="H15" i="34"/>
  <c r="I15" i="34" s="1"/>
  <c r="C15" i="34"/>
  <c r="D15" i="34" s="1"/>
  <c r="H14" i="34"/>
  <c r="I14" i="34" s="1"/>
  <c r="C14" i="34"/>
  <c r="D14" i="34" s="1"/>
  <c r="H13" i="34"/>
  <c r="I13" i="34" s="1"/>
  <c r="C13" i="34"/>
  <c r="D13" i="34" s="1"/>
  <c r="H12" i="34"/>
  <c r="I12" i="34" s="1"/>
  <c r="C12" i="34"/>
  <c r="D12" i="34" s="1"/>
  <c r="H11" i="34"/>
  <c r="I11" i="34" s="1"/>
  <c r="C11" i="34"/>
  <c r="D11" i="34" s="1"/>
  <c r="I10" i="34"/>
  <c r="H10" i="34"/>
  <c r="G10" i="34"/>
  <c r="D10" i="34"/>
  <c r="C10" i="34"/>
  <c r="B10" i="34"/>
  <c r="H7" i="34"/>
  <c r="H21" i="34" s="1"/>
  <c r="I21" i="34" s="1"/>
  <c r="D7" i="34"/>
  <c r="I6" i="34"/>
  <c r="D6" i="34"/>
  <c r="I5" i="34"/>
  <c r="C5" i="34"/>
  <c r="D5" i="34" s="1"/>
  <c r="EG23" i="20"/>
  <c r="DN23" i="20"/>
  <c r="CB23" i="20"/>
  <c r="BW23" i="20"/>
  <c r="BU23" i="20"/>
  <c r="B23" i="20"/>
  <c r="C23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X23" i="20"/>
  <c r="Y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Q23" i="20"/>
  <c r="AR23" i="20"/>
  <c r="AS23" i="20"/>
  <c r="AT23" i="20"/>
  <c r="AU23" i="20"/>
  <c r="AV23" i="20"/>
  <c r="AW23" i="20"/>
  <c r="AX23" i="20"/>
  <c r="AY23" i="20"/>
  <c r="AZ23" i="20"/>
  <c r="BB23" i="20"/>
  <c r="BC23" i="20"/>
  <c r="BD23" i="20"/>
  <c r="BE23" i="20"/>
  <c r="BE20" i="20"/>
  <c r="BD20" i="20"/>
  <c r="BC20" i="20"/>
  <c r="BB20" i="20"/>
  <c r="BA20" i="20"/>
  <c r="AZ20" i="20"/>
  <c r="AY20" i="20"/>
  <c r="AX20" i="20"/>
  <c r="AW20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C20" i="20"/>
  <c r="B20" i="20"/>
  <c r="A20" i="20"/>
  <c r="Q63" i="30"/>
  <c r="T63" i="30"/>
  <c r="D63" i="30"/>
  <c r="K63" i="30"/>
  <c r="M63" i="30"/>
  <c r="E63" i="30"/>
  <c r="U63" i="30"/>
  <c r="G63" i="30"/>
  <c r="J63" i="30"/>
  <c r="L63" i="30"/>
  <c r="O63" i="30"/>
  <c r="Y63" i="30"/>
  <c r="V63" i="30"/>
  <c r="H63" i="30"/>
  <c r="S63" i="30"/>
  <c r="N63" i="30"/>
  <c r="R63" i="30"/>
  <c r="F63" i="30"/>
  <c r="I63" i="30"/>
  <c r="P63" i="30"/>
  <c r="EI23" i="20" l="1"/>
  <c r="EM23" i="20" s="1"/>
  <c r="L6" i="32" s="1"/>
  <c r="EL23" i="20"/>
  <c r="I7" i="34"/>
  <c r="H16" i="34"/>
  <c r="I16" i="34" s="1"/>
  <c r="H17" i="34"/>
  <c r="I17" i="34" s="1"/>
  <c r="H18" i="34"/>
  <c r="I18" i="34" s="1"/>
  <c r="H19" i="34"/>
  <c r="I19" i="34" s="1"/>
  <c r="H20" i="34"/>
  <c r="I20" i="34" s="1"/>
  <c r="X63" i="30"/>
  <c r="E67" i="30" s="1"/>
  <c r="O67" i="30" s="1"/>
  <c r="D67" i="30"/>
  <c r="EJ23" i="20" l="1"/>
  <c r="EN23" i="20" s="1"/>
  <c r="J67" i="30"/>
  <c r="F67" i="30"/>
  <c r="L67" i="30"/>
  <c r="G67" i="30"/>
  <c r="H67" i="30"/>
  <c r="K67" i="30"/>
  <c r="M67" i="30"/>
  <c r="N67" i="30"/>
  <c r="I67" i="30"/>
  <c r="G1" i="32" l="1"/>
  <c r="E1" i="32"/>
  <c r="R136" i="32" l="1"/>
  <c r="R135" i="32"/>
  <c r="R134" i="32"/>
  <c r="R133" i="32"/>
  <c r="R132" i="32"/>
  <c r="R131" i="32"/>
  <c r="R130" i="32"/>
  <c r="R129" i="32"/>
  <c r="R128" i="32"/>
  <c r="R127" i="32"/>
  <c r="R126" i="32"/>
  <c r="R125" i="32"/>
  <c r="R124" i="32"/>
  <c r="R123" i="32"/>
  <c r="R122" i="32"/>
  <c r="R121" i="32"/>
  <c r="BG3" i="20"/>
  <c r="BH3" i="20"/>
  <c r="BI3" i="20"/>
  <c r="BJ3" i="20"/>
  <c r="BK3" i="20"/>
  <c r="BL3" i="20"/>
  <c r="BM3" i="20"/>
  <c r="BN3" i="20"/>
  <c r="BO3" i="20"/>
  <c r="BP3" i="20"/>
  <c r="BQ3" i="20"/>
  <c r="BR3" i="20"/>
  <c r="BS3" i="20"/>
  <c r="BU3" i="20"/>
  <c r="BT3" i="20"/>
  <c r="D33" i="32"/>
  <c r="BG4" i="20"/>
  <c r="BH4" i="20"/>
  <c r="BI4" i="20"/>
  <c r="BJ4" i="20"/>
  <c r="BK4" i="20"/>
  <c r="BL4" i="20"/>
  <c r="BM4" i="20"/>
  <c r="BN4" i="20"/>
  <c r="BO4" i="20"/>
  <c r="D7" i="32"/>
  <c r="BP4" i="20"/>
  <c r="BQ4" i="20"/>
  <c r="BR4" i="20"/>
  <c r="BS4" i="20"/>
  <c r="BU4" i="20"/>
  <c r="BT4" i="20"/>
  <c r="D34" i="32"/>
  <c r="BG5" i="20"/>
  <c r="BH5" i="20"/>
  <c r="BI5" i="20"/>
  <c r="BJ5" i="20"/>
  <c r="BK5" i="20"/>
  <c r="BL5" i="20"/>
  <c r="BM5" i="20"/>
  <c r="BN5" i="20"/>
  <c r="BO5" i="20"/>
  <c r="D8" i="32"/>
  <c r="BP5" i="20"/>
  <c r="BQ5" i="20"/>
  <c r="BR5" i="20"/>
  <c r="BS5" i="20"/>
  <c r="BT5" i="20"/>
  <c r="BU5" i="20"/>
  <c r="BG6" i="20"/>
  <c r="BH6" i="20"/>
  <c r="BI6" i="20"/>
  <c r="BJ6" i="20"/>
  <c r="BK6" i="20"/>
  <c r="BL6" i="20"/>
  <c r="BM6" i="20"/>
  <c r="BN6" i="20"/>
  <c r="BO6" i="20"/>
  <c r="BP6" i="20"/>
  <c r="BQ6" i="20"/>
  <c r="BR6" i="20"/>
  <c r="BS6" i="20"/>
  <c r="BU6" i="20"/>
  <c r="BT6" i="20"/>
  <c r="D36" i="32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U7" i="20"/>
  <c r="BT7" i="20"/>
  <c r="BG8" i="20"/>
  <c r="BH8" i="20"/>
  <c r="BI8" i="20"/>
  <c r="BJ8" i="20"/>
  <c r="BK8" i="20"/>
  <c r="BL8" i="20"/>
  <c r="BM8" i="20"/>
  <c r="BN8" i="20"/>
  <c r="BO8" i="20"/>
  <c r="D11" i="32"/>
  <c r="BP8" i="20"/>
  <c r="BQ8" i="20"/>
  <c r="BR8" i="20"/>
  <c r="BS8" i="20"/>
  <c r="BU8" i="20"/>
  <c r="BT8" i="20"/>
  <c r="BG9" i="20"/>
  <c r="BH9" i="20"/>
  <c r="BI9" i="20"/>
  <c r="BJ9" i="20"/>
  <c r="BK9" i="20"/>
  <c r="BL9" i="20"/>
  <c r="BM9" i="20"/>
  <c r="BN9" i="20"/>
  <c r="BO9" i="20"/>
  <c r="BP9" i="20"/>
  <c r="BQ9" i="20"/>
  <c r="BR9" i="20"/>
  <c r="BS9" i="20"/>
  <c r="BU9" i="20"/>
  <c r="BT9" i="20"/>
  <c r="D39" i="32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U10" i="20"/>
  <c r="BT10" i="20"/>
  <c r="BG11" i="20"/>
  <c r="BH11" i="20"/>
  <c r="BI11" i="20"/>
  <c r="BJ11" i="20"/>
  <c r="BK11" i="20"/>
  <c r="BL11" i="20"/>
  <c r="BM11" i="20"/>
  <c r="BN11" i="20"/>
  <c r="BO11" i="20"/>
  <c r="D14" i="32"/>
  <c r="BP11" i="20"/>
  <c r="BQ11" i="20"/>
  <c r="BR11" i="20"/>
  <c r="BS11" i="20"/>
  <c r="BU11" i="20"/>
  <c r="BT11" i="20"/>
  <c r="D41" i="32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U12" i="20"/>
  <c r="BT12" i="20"/>
  <c r="D42" i="32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U13" i="20"/>
  <c r="BT13" i="20"/>
  <c r="D43" i="32"/>
  <c r="BG14" i="20"/>
  <c r="BH14" i="20"/>
  <c r="BI14" i="20"/>
  <c r="BJ14" i="20"/>
  <c r="BK14" i="20"/>
  <c r="BL14" i="20"/>
  <c r="BM14" i="20"/>
  <c r="BN14" i="20"/>
  <c r="BO14" i="20"/>
  <c r="BP14" i="20"/>
  <c r="BQ14" i="20"/>
  <c r="BR14" i="20"/>
  <c r="BS14" i="20"/>
  <c r="BU14" i="20"/>
  <c r="BT14" i="20"/>
  <c r="D44" i="32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G16" i="20"/>
  <c r="BH16" i="20"/>
  <c r="BI16" i="20"/>
  <c r="BJ16" i="20"/>
  <c r="BK16" i="20"/>
  <c r="BL16" i="20"/>
  <c r="BM16" i="20"/>
  <c r="BN16" i="20"/>
  <c r="BO16" i="20"/>
  <c r="D19" i="32"/>
  <c r="BP16" i="20"/>
  <c r="BQ16" i="20"/>
  <c r="BR16" i="20"/>
  <c r="BS16" i="20"/>
  <c r="BU16" i="20"/>
  <c r="BT16" i="20"/>
  <c r="D46" i="32"/>
  <c r="BG17" i="20"/>
  <c r="BH17" i="20"/>
  <c r="BI17" i="20"/>
  <c r="BJ17" i="20"/>
  <c r="BK17" i="20"/>
  <c r="BL17" i="20"/>
  <c r="BM17" i="20"/>
  <c r="BN17" i="20"/>
  <c r="BO17" i="20"/>
  <c r="BP17" i="20"/>
  <c r="BQ17" i="20"/>
  <c r="BR17" i="20"/>
  <c r="BS17" i="20"/>
  <c r="BU17" i="20"/>
  <c r="BT17" i="20"/>
  <c r="BG18" i="20"/>
  <c r="BH18" i="20"/>
  <c r="BI18" i="20"/>
  <c r="BJ18" i="20"/>
  <c r="BK18" i="20"/>
  <c r="BL18" i="20"/>
  <c r="BM18" i="20"/>
  <c r="BN18" i="20"/>
  <c r="BO18" i="20"/>
  <c r="D21" i="32"/>
  <c r="BP18" i="20"/>
  <c r="BQ18" i="20"/>
  <c r="BR18" i="20"/>
  <c r="BS18" i="20"/>
  <c r="BU18" i="20"/>
  <c r="BT18" i="20"/>
  <c r="D48" i="32"/>
  <c r="C158" i="32"/>
  <c r="D158" i="32"/>
  <c r="E158" i="32"/>
  <c r="F158" i="32"/>
  <c r="G158" i="32"/>
  <c r="H158" i="32"/>
  <c r="I158" i="32"/>
  <c r="J158" i="32"/>
  <c r="K158" i="32"/>
  <c r="M158" i="32"/>
  <c r="N158" i="32"/>
  <c r="O158" i="32"/>
  <c r="P158" i="32"/>
  <c r="Q158" i="32"/>
  <c r="R158" i="32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B92" i="32"/>
  <c r="B91" i="32"/>
  <c r="B90" i="32"/>
  <c r="B89" i="32"/>
  <c r="B88" i="32"/>
  <c r="B87" i="32"/>
  <c r="B86" i="32"/>
  <c r="B85" i="32"/>
  <c r="B72" i="32"/>
  <c r="B71" i="32"/>
  <c r="B70" i="32"/>
  <c r="B69" i="32"/>
  <c r="B68" i="32"/>
  <c r="B67" i="32"/>
  <c r="B66" i="32"/>
  <c r="B65" i="32"/>
  <c r="BO21" i="20"/>
  <c r="BO22" i="20"/>
  <c r="B48" i="32"/>
  <c r="B47" i="32"/>
  <c r="B46" i="32"/>
  <c r="B45" i="32"/>
  <c r="B44" i="32"/>
  <c r="B43" i="32"/>
  <c r="B42" i="32"/>
  <c r="B41" i="32"/>
  <c r="B21" i="32"/>
  <c r="B20" i="32"/>
  <c r="B19" i="32"/>
  <c r="B18" i="32"/>
  <c r="B17" i="32"/>
  <c r="B16" i="32"/>
  <c r="B15" i="32"/>
  <c r="B14" i="32"/>
  <c r="B93" i="32"/>
  <c r="B84" i="32"/>
  <c r="B83" i="32"/>
  <c r="B82" i="32"/>
  <c r="B81" i="32"/>
  <c r="B80" i="32"/>
  <c r="B79" i="32"/>
  <c r="B78" i="32"/>
  <c r="B77" i="32"/>
  <c r="B75" i="32"/>
  <c r="B73" i="32"/>
  <c r="B64" i="32"/>
  <c r="B63" i="32"/>
  <c r="B62" i="32"/>
  <c r="B61" i="32"/>
  <c r="B60" i="32"/>
  <c r="B59" i="32"/>
  <c r="B58" i="32"/>
  <c r="B57" i="32"/>
  <c r="B54" i="32"/>
  <c r="B28" i="32"/>
  <c r="B49" i="32"/>
  <c r="B40" i="32"/>
  <c r="B39" i="32"/>
  <c r="B38" i="32"/>
  <c r="B37" i="32"/>
  <c r="B36" i="32"/>
  <c r="B35" i="32"/>
  <c r="B34" i="32"/>
  <c r="B33" i="32"/>
  <c r="B22" i="32"/>
  <c r="B13" i="32"/>
  <c r="B12" i="32"/>
  <c r="B11" i="32"/>
  <c r="B10" i="32"/>
  <c r="B9" i="32"/>
  <c r="B8" i="32"/>
  <c r="B7" i="32"/>
  <c r="B6" i="32"/>
  <c r="N7" i="32"/>
  <c r="N8" i="32"/>
  <c r="N9" i="32"/>
  <c r="N10" i="32"/>
  <c r="N11" i="32"/>
  <c r="N12" i="32"/>
  <c r="N13" i="32"/>
  <c r="N14" i="32"/>
  <c r="N15" i="32"/>
  <c r="N16" i="32"/>
  <c r="N17" i="32"/>
  <c r="N18" i="32"/>
  <c r="N19" i="32"/>
  <c r="N20" i="32"/>
  <c r="N21" i="32"/>
  <c r="CC4" i="20"/>
  <c r="L34" i="32"/>
  <c r="CD4" i="20"/>
  <c r="M34" i="32"/>
  <c r="CC5" i="20"/>
  <c r="L35" i="32"/>
  <c r="CD5" i="20"/>
  <c r="M35" i="32"/>
  <c r="CC6" i="20"/>
  <c r="L36" i="32"/>
  <c r="CD6" i="20"/>
  <c r="M36" i="32"/>
  <c r="CC7" i="20"/>
  <c r="L37" i="32"/>
  <c r="CD7" i="20"/>
  <c r="M37" i="32"/>
  <c r="CC8" i="20"/>
  <c r="L38" i="32"/>
  <c r="CD8" i="20"/>
  <c r="M38" i="32"/>
  <c r="CC9" i="20"/>
  <c r="L39" i="32"/>
  <c r="CD9" i="20"/>
  <c r="M39" i="32"/>
  <c r="CC10" i="20"/>
  <c r="L40" i="32"/>
  <c r="CD10" i="20"/>
  <c r="M40" i="32"/>
  <c r="CC11" i="20"/>
  <c r="L41" i="32"/>
  <c r="CD11" i="20"/>
  <c r="M41" i="32"/>
  <c r="CC12" i="20"/>
  <c r="L42" i="32"/>
  <c r="CD12" i="20"/>
  <c r="M42" i="32"/>
  <c r="CC13" i="20"/>
  <c r="L43" i="32"/>
  <c r="CD13" i="20"/>
  <c r="M43" i="32"/>
  <c r="CC14" i="20"/>
  <c r="L44" i="32"/>
  <c r="CD14" i="20"/>
  <c r="M44" i="32"/>
  <c r="CC15" i="20"/>
  <c r="L45" i="32"/>
  <c r="CD15" i="20"/>
  <c r="M45" i="32"/>
  <c r="CC16" i="20"/>
  <c r="L46" i="32"/>
  <c r="CD16" i="20"/>
  <c r="M46" i="32"/>
  <c r="CC17" i="20"/>
  <c r="L47" i="32"/>
  <c r="CD17" i="20"/>
  <c r="M47" i="32"/>
  <c r="CC18" i="20"/>
  <c r="L48" i="32"/>
  <c r="CD18" i="20"/>
  <c r="M48" i="32"/>
  <c r="CC19" i="20"/>
  <c r="CD19" i="20"/>
  <c r="CC20" i="20"/>
  <c r="CD20" i="20"/>
  <c r="CC21" i="20"/>
  <c r="CD21" i="20"/>
  <c r="CC22" i="20"/>
  <c r="CD22" i="20"/>
  <c r="CD3" i="20"/>
  <c r="M33" i="32"/>
  <c r="CC3" i="20"/>
  <c r="L33" i="32"/>
  <c r="EB10" i="20"/>
  <c r="EB4" i="20"/>
  <c r="EB5" i="20"/>
  <c r="EB6" i="20"/>
  <c r="EB7" i="20"/>
  <c r="EB8" i="20"/>
  <c r="EB9" i="20"/>
  <c r="EB11" i="20"/>
  <c r="EB12" i="20"/>
  <c r="EB13" i="20"/>
  <c r="EB14" i="20"/>
  <c r="EB15" i="20"/>
  <c r="EB16" i="20"/>
  <c r="EB17" i="20"/>
  <c r="EB18" i="20"/>
  <c r="EB19" i="20"/>
  <c r="EB20" i="20"/>
  <c r="EB21" i="20"/>
  <c r="EB22" i="20"/>
  <c r="EB3" i="20"/>
  <c r="I6" i="32"/>
  <c r="S45" i="20"/>
  <c r="S44" i="20"/>
  <c r="S43" i="20"/>
  <c r="S42" i="20"/>
  <c r="S41" i="20"/>
  <c r="S40" i="20"/>
  <c r="S39" i="20"/>
  <c r="S38" i="20"/>
  <c r="S37" i="20"/>
  <c r="S36" i="20"/>
  <c r="S35" i="20"/>
  <c r="S34" i="20"/>
  <c r="S33" i="20"/>
  <c r="S32" i="20"/>
  <c r="S31" i="20"/>
  <c r="S30" i="20"/>
  <c r="S29" i="20"/>
  <c r="S28" i="20"/>
  <c r="S27" i="20"/>
  <c r="S26" i="20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BG19" i="20"/>
  <c r="BG20" i="20"/>
  <c r="BG21" i="20"/>
  <c r="BG22" i="20"/>
  <c r="C179" i="32"/>
  <c r="C121" i="20"/>
  <c r="D121" i="20"/>
  <c r="E121" i="20"/>
  <c r="F121" i="20"/>
  <c r="G121" i="20"/>
  <c r="H121" i="20"/>
  <c r="I121" i="20"/>
  <c r="J121" i="20"/>
  <c r="K121" i="20"/>
  <c r="L121" i="20"/>
  <c r="M121" i="20"/>
  <c r="N121" i="20"/>
  <c r="O121" i="20"/>
  <c r="P121" i="20"/>
  <c r="Q121" i="20"/>
  <c r="R121" i="20"/>
  <c r="S121" i="20"/>
  <c r="B121" i="20"/>
  <c r="B73" i="20"/>
  <c r="DK23" i="20"/>
  <c r="DN4" i="20"/>
  <c r="E34" i="32"/>
  <c r="DN5" i="20"/>
  <c r="E35" i="32"/>
  <c r="DN6" i="20"/>
  <c r="E36" i="32"/>
  <c r="DN7" i="20"/>
  <c r="E37" i="32"/>
  <c r="DN8" i="20"/>
  <c r="E38" i="32"/>
  <c r="DN9" i="20"/>
  <c r="E39" i="32"/>
  <c r="DN10" i="20"/>
  <c r="E40" i="32"/>
  <c r="DN11" i="20"/>
  <c r="E41" i="32"/>
  <c r="DN12" i="20"/>
  <c r="E42" i="32"/>
  <c r="DN13" i="20"/>
  <c r="E43" i="32"/>
  <c r="DN14" i="20"/>
  <c r="E44" i="32"/>
  <c r="DN15" i="20"/>
  <c r="E45" i="32"/>
  <c r="DN16" i="20"/>
  <c r="E46" i="32"/>
  <c r="DN17" i="20"/>
  <c r="E47" i="32"/>
  <c r="DN18" i="20"/>
  <c r="E48" i="32"/>
  <c r="DN19" i="20"/>
  <c r="DN20" i="20"/>
  <c r="DN21" i="20"/>
  <c r="DN22" i="20"/>
  <c r="DN3" i="20"/>
  <c r="E33" i="32"/>
  <c r="D100" i="20"/>
  <c r="B123" i="20"/>
  <c r="C100" i="20"/>
  <c r="N100" i="20"/>
  <c r="D123" i="20"/>
  <c r="E100" i="20"/>
  <c r="E123" i="20"/>
  <c r="F100" i="20"/>
  <c r="G100" i="20"/>
  <c r="K100" i="20"/>
  <c r="O100" i="20"/>
  <c r="I123" i="20"/>
  <c r="L100" i="20"/>
  <c r="J123" i="20"/>
  <c r="J100" i="20"/>
  <c r="P100" i="20"/>
  <c r="L123" i="20"/>
  <c r="AD100" i="20"/>
  <c r="I100" i="20"/>
  <c r="BC100" i="20"/>
  <c r="BD100" i="20"/>
  <c r="U100" i="20"/>
  <c r="X100" i="20"/>
  <c r="O123" i="20"/>
  <c r="R100" i="20"/>
  <c r="P123" i="20"/>
  <c r="R123" i="20"/>
  <c r="Q123" i="20"/>
  <c r="V100" i="20"/>
  <c r="Y100" i="20"/>
  <c r="B100" i="20"/>
  <c r="D101" i="20"/>
  <c r="B124" i="20"/>
  <c r="C101" i="20"/>
  <c r="N101" i="20"/>
  <c r="D124" i="20"/>
  <c r="E101" i="20"/>
  <c r="E124" i="20"/>
  <c r="F101" i="20"/>
  <c r="G101" i="20"/>
  <c r="K101" i="20"/>
  <c r="O101" i="20"/>
  <c r="L101" i="20"/>
  <c r="J124" i="20"/>
  <c r="J101" i="20"/>
  <c r="P101" i="20"/>
  <c r="AD101" i="20"/>
  <c r="I101" i="20"/>
  <c r="BC101" i="20"/>
  <c r="BD101" i="20"/>
  <c r="U101" i="20"/>
  <c r="X101" i="20"/>
  <c r="O124" i="20"/>
  <c r="R101" i="20"/>
  <c r="P124" i="20"/>
  <c r="R124" i="20"/>
  <c r="Q124" i="20"/>
  <c r="V101" i="20"/>
  <c r="Y101" i="20"/>
  <c r="B101" i="20"/>
  <c r="D102" i="20"/>
  <c r="C102" i="20"/>
  <c r="N102" i="20"/>
  <c r="D125" i="20"/>
  <c r="E102" i="20"/>
  <c r="E125" i="20"/>
  <c r="F102" i="20"/>
  <c r="G102" i="20"/>
  <c r="K102" i="20"/>
  <c r="O102" i="20"/>
  <c r="L102" i="20"/>
  <c r="J125" i="20"/>
  <c r="J102" i="20"/>
  <c r="P102" i="20"/>
  <c r="L125" i="20"/>
  <c r="AD102" i="20"/>
  <c r="I102" i="20"/>
  <c r="BC102" i="20"/>
  <c r="BD102" i="20"/>
  <c r="U102" i="20"/>
  <c r="X102" i="20"/>
  <c r="O125" i="20"/>
  <c r="R102" i="20"/>
  <c r="P125" i="20"/>
  <c r="Q125" i="20"/>
  <c r="V102" i="20"/>
  <c r="Y102" i="20"/>
  <c r="B102" i="20"/>
  <c r="D103" i="20"/>
  <c r="B126" i="20"/>
  <c r="C103" i="20"/>
  <c r="N103" i="20"/>
  <c r="D126" i="20"/>
  <c r="E103" i="20"/>
  <c r="E126" i="20"/>
  <c r="F103" i="20"/>
  <c r="G103" i="20"/>
  <c r="K103" i="20"/>
  <c r="O103" i="20"/>
  <c r="I126" i="20"/>
  <c r="L103" i="20"/>
  <c r="J126" i="20"/>
  <c r="J103" i="20"/>
  <c r="P103" i="20"/>
  <c r="L126" i="20"/>
  <c r="AD103" i="20"/>
  <c r="I103" i="20"/>
  <c r="BC103" i="20"/>
  <c r="BD103" i="20"/>
  <c r="U103" i="20"/>
  <c r="X103" i="20"/>
  <c r="O126" i="20"/>
  <c r="R103" i="20"/>
  <c r="P126" i="20"/>
  <c r="R126" i="20"/>
  <c r="Q126" i="20"/>
  <c r="V103" i="20"/>
  <c r="Y103" i="20"/>
  <c r="B103" i="20"/>
  <c r="D104" i="20"/>
  <c r="B127" i="20"/>
  <c r="C104" i="20"/>
  <c r="N104" i="20"/>
  <c r="D127" i="20"/>
  <c r="E104" i="20"/>
  <c r="E127" i="20"/>
  <c r="F104" i="20"/>
  <c r="G104" i="20"/>
  <c r="K104" i="20"/>
  <c r="O104" i="20"/>
  <c r="I127" i="20"/>
  <c r="L104" i="20"/>
  <c r="J127" i="20"/>
  <c r="J104" i="20"/>
  <c r="P104" i="20"/>
  <c r="L127" i="20"/>
  <c r="AD104" i="20"/>
  <c r="I104" i="20"/>
  <c r="BC104" i="20"/>
  <c r="BD104" i="20"/>
  <c r="U104" i="20"/>
  <c r="X104" i="20"/>
  <c r="O127" i="20"/>
  <c r="R104" i="20"/>
  <c r="P127" i="20"/>
  <c r="R127" i="20"/>
  <c r="Q127" i="20"/>
  <c r="V104" i="20"/>
  <c r="Y104" i="20"/>
  <c r="B104" i="20"/>
  <c r="D105" i="20"/>
  <c r="B128" i="20"/>
  <c r="C105" i="20"/>
  <c r="N105" i="20"/>
  <c r="D128" i="20"/>
  <c r="G128" i="20"/>
  <c r="E105" i="20"/>
  <c r="E128" i="20"/>
  <c r="F105" i="20"/>
  <c r="G105" i="20"/>
  <c r="K105" i="20"/>
  <c r="O105" i="20"/>
  <c r="L105" i="20"/>
  <c r="J128" i="20"/>
  <c r="J105" i="20"/>
  <c r="P105" i="20"/>
  <c r="L128" i="20"/>
  <c r="AD105" i="20"/>
  <c r="I105" i="20"/>
  <c r="BC105" i="20"/>
  <c r="BD105" i="20"/>
  <c r="U105" i="20"/>
  <c r="X105" i="20"/>
  <c r="O128" i="20"/>
  <c r="R105" i="20"/>
  <c r="P128" i="20"/>
  <c r="R128" i="20"/>
  <c r="Q128" i="20"/>
  <c r="V105" i="20"/>
  <c r="Y105" i="20"/>
  <c r="B105" i="20"/>
  <c r="D106" i="20"/>
  <c r="B129" i="20"/>
  <c r="C106" i="20"/>
  <c r="N106" i="20"/>
  <c r="D129" i="20"/>
  <c r="E106" i="20"/>
  <c r="E129" i="20"/>
  <c r="F106" i="20"/>
  <c r="G106" i="20"/>
  <c r="K106" i="20"/>
  <c r="O106" i="20"/>
  <c r="I129" i="20"/>
  <c r="L106" i="20"/>
  <c r="J129" i="20"/>
  <c r="J106" i="20"/>
  <c r="P106" i="20"/>
  <c r="AD106" i="20"/>
  <c r="I106" i="20"/>
  <c r="BC106" i="20"/>
  <c r="BD106" i="20"/>
  <c r="U106" i="20"/>
  <c r="X106" i="20"/>
  <c r="O129" i="20"/>
  <c r="R106" i="20"/>
  <c r="P129" i="20"/>
  <c r="Q129" i="20"/>
  <c r="V106" i="20"/>
  <c r="Y106" i="20"/>
  <c r="B106" i="20"/>
  <c r="D99" i="20"/>
  <c r="B122" i="20"/>
  <c r="C99" i="20"/>
  <c r="N99" i="20"/>
  <c r="D122" i="20"/>
  <c r="E99" i="20"/>
  <c r="E122" i="20"/>
  <c r="F99" i="20"/>
  <c r="G99" i="20"/>
  <c r="K99" i="20"/>
  <c r="O99" i="20"/>
  <c r="I122" i="20"/>
  <c r="L99" i="20"/>
  <c r="J122" i="20"/>
  <c r="J99" i="20"/>
  <c r="P99" i="20"/>
  <c r="L122" i="20"/>
  <c r="AD99" i="20"/>
  <c r="I99" i="20"/>
  <c r="BC99" i="20"/>
  <c r="BD99" i="20"/>
  <c r="U99" i="20"/>
  <c r="X99" i="20"/>
  <c r="O122" i="20"/>
  <c r="R99" i="20"/>
  <c r="P122" i="20"/>
  <c r="Q122" i="20"/>
  <c r="V99" i="20"/>
  <c r="Y99" i="20"/>
  <c r="B99" i="20"/>
  <c r="A53" i="20"/>
  <c r="A76" i="20"/>
  <c r="A101" i="20"/>
  <c r="A124" i="20"/>
  <c r="A54" i="20"/>
  <c r="A77" i="20"/>
  <c r="A102" i="20"/>
  <c r="A125" i="20"/>
  <c r="A55" i="20"/>
  <c r="A78" i="20"/>
  <c r="A103" i="20"/>
  <c r="A126" i="20"/>
  <c r="A56" i="20"/>
  <c r="A79" i="20"/>
  <c r="A104" i="20"/>
  <c r="A127" i="20"/>
  <c r="A57" i="20"/>
  <c r="A80" i="20"/>
  <c r="A105" i="20"/>
  <c r="A128" i="20"/>
  <c r="A58" i="20"/>
  <c r="A81" i="20"/>
  <c r="A106" i="20"/>
  <c r="A129" i="20"/>
  <c r="A52" i="20"/>
  <c r="A75" i="20"/>
  <c r="A100" i="20"/>
  <c r="A123" i="20"/>
  <c r="A51" i="20"/>
  <c r="A74" i="20"/>
  <c r="A99" i="20"/>
  <c r="A122" i="20"/>
  <c r="CS11" i="20"/>
  <c r="CT11" i="20"/>
  <c r="CS12" i="20"/>
  <c r="CT12" i="20"/>
  <c r="CS13" i="20"/>
  <c r="CT13" i="20"/>
  <c r="CS14" i="20"/>
  <c r="CT14" i="20"/>
  <c r="CS15" i="20"/>
  <c r="CT15" i="20"/>
  <c r="CS16" i="20"/>
  <c r="CT16" i="20"/>
  <c r="CS17" i="20"/>
  <c r="CT17" i="20"/>
  <c r="CS18" i="20"/>
  <c r="CT18" i="20"/>
  <c r="CS19" i="20"/>
  <c r="CT19" i="20"/>
  <c r="CS20" i="20"/>
  <c r="CT20" i="20"/>
  <c r="CS21" i="20"/>
  <c r="CT21" i="20"/>
  <c r="CS22" i="20"/>
  <c r="CT22" i="20"/>
  <c r="DJ23" i="20"/>
  <c r="DI23" i="20"/>
  <c r="CR3" i="20"/>
  <c r="CS4" i="20"/>
  <c r="CT4" i="20"/>
  <c r="CS5" i="20"/>
  <c r="CT5" i="20"/>
  <c r="CS6" i="20"/>
  <c r="CT6" i="20"/>
  <c r="CS7" i="20"/>
  <c r="CT7" i="20"/>
  <c r="CS8" i="20"/>
  <c r="CT8" i="20"/>
  <c r="CS9" i="20"/>
  <c r="CT9" i="20"/>
  <c r="CS10" i="20"/>
  <c r="CT10" i="20"/>
  <c r="CT3" i="20"/>
  <c r="CS3" i="20"/>
  <c r="J36" i="30"/>
  <c r="DB23" i="20"/>
  <c r="DE23" i="20"/>
  <c r="CB3" i="20"/>
  <c r="K33" i="32"/>
  <c r="CB4" i="20"/>
  <c r="K34" i="32"/>
  <c r="CB5" i="20"/>
  <c r="K35" i="32"/>
  <c r="CB6" i="20"/>
  <c r="K36" i="32"/>
  <c r="CB7" i="20"/>
  <c r="K37" i="32"/>
  <c r="CB8" i="20"/>
  <c r="K38" i="32"/>
  <c r="CB9" i="20"/>
  <c r="K39" i="32"/>
  <c r="CB10" i="20"/>
  <c r="K40" i="32"/>
  <c r="CB11" i="20"/>
  <c r="K41" i="32"/>
  <c r="CB12" i="20"/>
  <c r="K42" i="32"/>
  <c r="CB13" i="20"/>
  <c r="K43" i="32"/>
  <c r="CB14" i="20"/>
  <c r="K44" i="32"/>
  <c r="CB15" i="20"/>
  <c r="K45" i="32"/>
  <c r="CB16" i="20"/>
  <c r="K46" i="32"/>
  <c r="CB17" i="20"/>
  <c r="K47" i="32"/>
  <c r="CB18" i="20"/>
  <c r="K48" i="32"/>
  <c r="CB19" i="20"/>
  <c r="CA19" i="20"/>
  <c r="CB20" i="20"/>
  <c r="CA20" i="20" s="1"/>
  <c r="CB21" i="20"/>
  <c r="CA21" i="20"/>
  <c r="CB22" i="20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BU19" i="20"/>
  <c r="BT19" i="20"/>
  <c r="BU20" i="20"/>
  <c r="BU21" i="20"/>
  <c r="BU22" i="20"/>
  <c r="BW3" i="20"/>
  <c r="BW4" i="20"/>
  <c r="BV4" i="20"/>
  <c r="C34" i="32"/>
  <c r="BW5" i="20"/>
  <c r="BV5" i="20"/>
  <c r="C35" i="32"/>
  <c r="BW6" i="20"/>
  <c r="BV6" i="20"/>
  <c r="C36" i="32"/>
  <c r="BW7" i="20"/>
  <c r="BW8" i="20"/>
  <c r="BV8" i="20"/>
  <c r="C38" i="32"/>
  <c r="BW9" i="20"/>
  <c r="BV9" i="20"/>
  <c r="C39" i="32"/>
  <c r="BW10" i="20"/>
  <c r="BV10" i="20"/>
  <c r="C40" i="32"/>
  <c r="BW11" i="20"/>
  <c r="BV11" i="20"/>
  <c r="C41" i="32"/>
  <c r="BW12" i="20"/>
  <c r="BW13" i="20"/>
  <c r="BW14" i="20"/>
  <c r="BW15" i="20"/>
  <c r="BV15" i="20"/>
  <c r="C45" i="32"/>
  <c r="BW16" i="20"/>
  <c r="BW17" i="20"/>
  <c r="BW18" i="20"/>
  <c r="BW19" i="20"/>
  <c r="BV19" i="20"/>
  <c r="BW20" i="20"/>
  <c r="BW21" i="20"/>
  <c r="BW22" i="20"/>
  <c r="DA23" i="20"/>
  <c r="DD23" i="20"/>
  <c r="F13" i="32"/>
  <c r="DF23" i="20"/>
  <c r="DG23" i="20"/>
  <c r="CR10" i="20"/>
  <c r="CQ10" i="20"/>
  <c r="CP10" i="20"/>
  <c r="DJ10" i="20"/>
  <c r="C84" i="32"/>
  <c r="CW10" i="20"/>
  <c r="DH10" i="20"/>
  <c r="D84" i="32"/>
  <c r="DK10" i="20"/>
  <c r="E84" i="32"/>
  <c r="DI10" i="20"/>
  <c r="F84" i="32"/>
  <c r="DF10" i="20"/>
  <c r="G84" i="32"/>
  <c r="DG10" i="20"/>
  <c r="H84" i="32"/>
  <c r="DJ3" i="20"/>
  <c r="C77" i="32"/>
  <c r="DJ4" i="20"/>
  <c r="C78" i="32"/>
  <c r="DJ5" i="20"/>
  <c r="C79" i="32"/>
  <c r="DJ6" i="20"/>
  <c r="C80" i="32"/>
  <c r="DJ7" i="20"/>
  <c r="C81" i="32"/>
  <c r="DJ8" i="20"/>
  <c r="C82" i="32"/>
  <c r="DJ9" i="20"/>
  <c r="C83" i="32"/>
  <c r="DH3" i="20"/>
  <c r="D77" i="32"/>
  <c r="DH4" i="20"/>
  <c r="D78" i="32"/>
  <c r="DH5" i="20"/>
  <c r="D79" i="32"/>
  <c r="DH6" i="20"/>
  <c r="D80" i="32"/>
  <c r="DH7" i="20"/>
  <c r="D81" i="32"/>
  <c r="DH8" i="20"/>
  <c r="D82" i="32"/>
  <c r="DH9" i="20"/>
  <c r="D83" i="32"/>
  <c r="DK3" i="20"/>
  <c r="E77" i="32"/>
  <c r="DK4" i="20"/>
  <c r="E78" i="32"/>
  <c r="DK5" i="20"/>
  <c r="E79" i="32"/>
  <c r="DK6" i="20"/>
  <c r="E80" i="32"/>
  <c r="DK7" i="20"/>
  <c r="E81" i="32"/>
  <c r="DK8" i="20"/>
  <c r="E82" i="32"/>
  <c r="DK9" i="20"/>
  <c r="E83" i="32"/>
  <c r="DI3" i="20"/>
  <c r="F77" i="32"/>
  <c r="DI4" i="20"/>
  <c r="F78" i="32"/>
  <c r="DI5" i="20"/>
  <c r="F79" i="32"/>
  <c r="DI6" i="20"/>
  <c r="F80" i="32"/>
  <c r="DI7" i="20"/>
  <c r="F81" i="32"/>
  <c r="DI8" i="20"/>
  <c r="F82" i="32"/>
  <c r="DI9" i="20"/>
  <c r="F83" i="32"/>
  <c r="DF3" i="20"/>
  <c r="G77" i="32"/>
  <c r="DF4" i="20"/>
  <c r="G78" i="32"/>
  <c r="DF5" i="20"/>
  <c r="G79" i="32"/>
  <c r="DF6" i="20"/>
  <c r="G80" i="32"/>
  <c r="DF7" i="20"/>
  <c r="G81" i="32"/>
  <c r="DF8" i="20"/>
  <c r="G82" i="32"/>
  <c r="DF9" i="20"/>
  <c r="G83" i="32"/>
  <c r="DG3" i="20"/>
  <c r="H77" i="32"/>
  <c r="DG4" i="20"/>
  <c r="H78" i="32"/>
  <c r="DG5" i="20"/>
  <c r="H79" i="32"/>
  <c r="DG6" i="20"/>
  <c r="H80" i="32"/>
  <c r="DG7" i="20"/>
  <c r="H81" i="32"/>
  <c r="DG8" i="20"/>
  <c r="H82" i="32"/>
  <c r="DG9" i="20"/>
  <c r="H83" i="32"/>
  <c r="DC3" i="20"/>
  <c r="I77" i="32"/>
  <c r="DC4" i="20"/>
  <c r="I78" i="32"/>
  <c r="DC5" i="20"/>
  <c r="I79" i="32"/>
  <c r="DC6" i="20"/>
  <c r="I80" i="32"/>
  <c r="DC7" i="20"/>
  <c r="I81" i="32"/>
  <c r="DC8" i="20"/>
  <c r="I82" i="32"/>
  <c r="DC9" i="20"/>
  <c r="I83" i="32"/>
  <c r="DC10" i="20"/>
  <c r="I84" i="32"/>
  <c r="CZ3" i="20"/>
  <c r="J77" i="32"/>
  <c r="CZ4" i="20"/>
  <c r="J78" i="32"/>
  <c r="CZ5" i="20"/>
  <c r="J79" i="32"/>
  <c r="CZ6" i="20"/>
  <c r="J80" i="32"/>
  <c r="CZ7" i="20"/>
  <c r="J81" i="32"/>
  <c r="CZ8" i="20"/>
  <c r="J82" i="32"/>
  <c r="CZ9" i="20"/>
  <c r="J83" i="32"/>
  <c r="CZ10" i="20"/>
  <c r="J84" i="32"/>
  <c r="DD3" i="20"/>
  <c r="K77" i="32"/>
  <c r="DD4" i="20"/>
  <c r="K78" i="32"/>
  <c r="DD5" i="20"/>
  <c r="K79" i="32"/>
  <c r="DD6" i="20"/>
  <c r="K80" i="32"/>
  <c r="DD7" i="20"/>
  <c r="K81" i="32"/>
  <c r="DD8" i="20"/>
  <c r="K82" i="32"/>
  <c r="DD9" i="20"/>
  <c r="K83" i="32"/>
  <c r="DD10" i="20"/>
  <c r="K84" i="32"/>
  <c r="DA3" i="20"/>
  <c r="L77" i="32"/>
  <c r="DA4" i="20"/>
  <c r="L78" i="32"/>
  <c r="L93" i="32"/>
  <c r="DA5" i="20"/>
  <c r="L79" i="32"/>
  <c r="DA6" i="20"/>
  <c r="L80" i="32"/>
  <c r="DA7" i="20"/>
  <c r="L81" i="32"/>
  <c r="DA8" i="20"/>
  <c r="L82" i="32"/>
  <c r="DA9" i="20"/>
  <c r="L83" i="32"/>
  <c r="DA10" i="20"/>
  <c r="L84" i="32"/>
  <c r="CY3" i="20"/>
  <c r="M77" i="32"/>
  <c r="CY4" i="20"/>
  <c r="M78" i="32"/>
  <c r="CY5" i="20"/>
  <c r="M79" i="32"/>
  <c r="CY6" i="20"/>
  <c r="M80" i="32"/>
  <c r="CY7" i="20"/>
  <c r="M81" i="32"/>
  <c r="CY8" i="20"/>
  <c r="M82" i="32"/>
  <c r="CY9" i="20"/>
  <c r="M83" i="32"/>
  <c r="CY10" i="20"/>
  <c r="M84" i="32"/>
  <c r="CX3" i="20"/>
  <c r="N77" i="32"/>
  <c r="CX4" i="20"/>
  <c r="N78" i="32"/>
  <c r="CX5" i="20"/>
  <c r="N79" i="32"/>
  <c r="CX6" i="20"/>
  <c r="N80" i="32"/>
  <c r="CX7" i="20"/>
  <c r="N81" i="32"/>
  <c r="CX8" i="20"/>
  <c r="N82" i="32"/>
  <c r="CX9" i="20"/>
  <c r="N83" i="32"/>
  <c r="CX10" i="20"/>
  <c r="N84" i="32"/>
  <c r="CW3" i="20"/>
  <c r="CW4" i="20"/>
  <c r="CW5" i="20"/>
  <c r="CW6" i="20"/>
  <c r="CW7" i="20"/>
  <c r="CW8" i="20"/>
  <c r="CW9" i="20"/>
  <c r="CR9" i="20"/>
  <c r="CQ9" i="20"/>
  <c r="CP9" i="20"/>
  <c r="CR8" i="20"/>
  <c r="CQ8" i="20"/>
  <c r="CP8" i="20"/>
  <c r="CR7" i="20"/>
  <c r="CQ7" i="20"/>
  <c r="CP7" i="20"/>
  <c r="CR6" i="20"/>
  <c r="CQ6" i="20"/>
  <c r="CP6" i="20"/>
  <c r="CR5" i="20"/>
  <c r="CQ5" i="20"/>
  <c r="CP5" i="20"/>
  <c r="CR4" i="20"/>
  <c r="CQ4" i="20"/>
  <c r="CP4" i="20"/>
  <c r="CU10" i="20"/>
  <c r="O40" i="32"/>
  <c r="CV10" i="20"/>
  <c r="N40" i="32"/>
  <c r="K13" i="32"/>
  <c r="I13" i="32"/>
  <c r="BY10" i="20"/>
  <c r="I40" i="32"/>
  <c r="BZ10" i="20"/>
  <c r="H40" i="32"/>
  <c r="BX10" i="20"/>
  <c r="G40" i="32"/>
  <c r="CU9" i="20"/>
  <c r="O39" i="32"/>
  <c r="CV9" i="20"/>
  <c r="N39" i="32"/>
  <c r="K12" i="32"/>
  <c r="I12" i="32"/>
  <c r="BY9" i="20"/>
  <c r="I39" i="32"/>
  <c r="BZ9" i="20"/>
  <c r="H39" i="32"/>
  <c r="BX9" i="20"/>
  <c r="G39" i="32"/>
  <c r="CU8" i="20"/>
  <c r="O38" i="32"/>
  <c r="CV8" i="20"/>
  <c r="N38" i="32"/>
  <c r="K11" i="32"/>
  <c r="I11" i="32"/>
  <c r="BY8" i="20"/>
  <c r="I38" i="32"/>
  <c r="BZ8" i="20"/>
  <c r="H38" i="32"/>
  <c r="BX8" i="20"/>
  <c r="G38" i="32"/>
  <c r="CU7" i="20"/>
  <c r="O37" i="32"/>
  <c r="CV7" i="20"/>
  <c r="N37" i="32"/>
  <c r="K10" i="32"/>
  <c r="I10" i="32"/>
  <c r="BY7" i="20"/>
  <c r="I37" i="32"/>
  <c r="BZ7" i="20"/>
  <c r="H37" i="32"/>
  <c r="BX7" i="20"/>
  <c r="G37" i="32"/>
  <c r="BV7" i="20"/>
  <c r="C37" i="32"/>
  <c r="CU6" i="20"/>
  <c r="O36" i="32"/>
  <c r="CV6" i="20"/>
  <c r="N36" i="32"/>
  <c r="K9" i="32"/>
  <c r="I9" i="32"/>
  <c r="BY6" i="20"/>
  <c r="I36" i="32"/>
  <c r="BZ6" i="20"/>
  <c r="H36" i="32"/>
  <c r="BX6" i="20"/>
  <c r="G36" i="32"/>
  <c r="CU5" i="20"/>
  <c r="O35" i="32"/>
  <c r="CV5" i="20"/>
  <c r="N35" i="32"/>
  <c r="K8" i="32"/>
  <c r="I8" i="32"/>
  <c r="BY5" i="20"/>
  <c r="I35" i="32"/>
  <c r="BZ5" i="20"/>
  <c r="H35" i="32"/>
  <c r="BX5" i="20"/>
  <c r="G35" i="32"/>
  <c r="D35" i="32"/>
  <c r="CU4" i="20"/>
  <c r="O34" i="32"/>
  <c r="CV4" i="20"/>
  <c r="N34" i="32"/>
  <c r="K7" i="32"/>
  <c r="I7" i="32"/>
  <c r="BY4" i="20"/>
  <c r="I34" i="32"/>
  <c r="BZ4" i="20"/>
  <c r="H34" i="32"/>
  <c r="BX4" i="20"/>
  <c r="G34" i="32"/>
  <c r="BX3" i="20"/>
  <c r="G33" i="32"/>
  <c r="BZ3" i="20"/>
  <c r="H33" i="32"/>
  <c r="BY3" i="20"/>
  <c r="I33" i="32"/>
  <c r="F7" i="32"/>
  <c r="F8" i="32"/>
  <c r="F9" i="32"/>
  <c r="F10" i="32"/>
  <c r="F11" i="32"/>
  <c r="F12" i="32"/>
  <c r="D2" i="30"/>
  <c r="D3" i="30"/>
  <c r="D4" i="30"/>
  <c r="A59" i="20"/>
  <c r="A82" i="20"/>
  <c r="A107" i="20"/>
  <c r="A130" i="20"/>
  <c r="D107" i="20"/>
  <c r="B130" i="20"/>
  <c r="C107" i="20"/>
  <c r="N107" i="20"/>
  <c r="D130" i="20"/>
  <c r="E107" i="20"/>
  <c r="E130" i="20"/>
  <c r="F107" i="20"/>
  <c r="G107" i="20"/>
  <c r="K107" i="20"/>
  <c r="O107" i="20"/>
  <c r="L107" i="20"/>
  <c r="J130" i="20"/>
  <c r="J107" i="20"/>
  <c r="P107" i="20"/>
  <c r="L130" i="20"/>
  <c r="AD107" i="20"/>
  <c r="I107" i="20"/>
  <c r="BC107" i="20"/>
  <c r="BD107" i="20"/>
  <c r="U107" i="20"/>
  <c r="X107" i="20"/>
  <c r="O130" i="20"/>
  <c r="R107" i="20"/>
  <c r="P130" i="20"/>
  <c r="Q130" i="20"/>
  <c r="V107" i="20"/>
  <c r="Y107" i="20"/>
  <c r="B107" i="20"/>
  <c r="A60" i="20"/>
  <c r="A83" i="20"/>
  <c r="A108" i="20"/>
  <c r="A131" i="20"/>
  <c r="D108" i="20"/>
  <c r="B131" i="20"/>
  <c r="C108" i="20"/>
  <c r="N108" i="20"/>
  <c r="D131" i="20"/>
  <c r="G131" i="20"/>
  <c r="E108" i="20"/>
  <c r="E131" i="20"/>
  <c r="F108" i="20"/>
  <c r="G108" i="20"/>
  <c r="K108" i="20"/>
  <c r="O108" i="20"/>
  <c r="L108" i="20"/>
  <c r="J131" i="20"/>
  <c r="J108" i="20"/>
  <c r="P108" i="20"/>
  <c r="L131" i="20"/>
  <c r="AD108" i="20"/>
  <c r="I108" i="20"/>
  <c r="BC108" i="20"/>
  <c r="BD108" i="20"/>
  <c r="U108" i="20"/>
  <c r="X108" i="20"/>
  <c r="O131" i="20"/>
  <c r="R108" i="20"/>
  <c r="P131" i="20"/>
  <c r="Q131" i="20"/>
  <c r="V108" i="20"/>
  <c r="Y108" i="20"/>
  <c r="B108" i="20"/>
  <c r="E36" i="30"/>
  <c r="F36" i="30"/>
  <c r="G36" i="30"/>
  <c r="H36" i="30"/>
  <c r="I36" i="30"/>
  <c r="K36" i="30"/>
  <c r="L36" i="30"/>
  <c r="M36" i="30"/>
  <c r="N36" i="30"/>
  <c r="O36" i="30"/>
  <c r="P36" i="30"/>
  <c r="Q36" i="30"/>
  <c r="R36" i="30"/>
  <c r="S36" i="30"/>
  <c r="T36" i="30"/>
  <c r="U36" i="30"/>
  <c r="V36" i="30"/>
  <c r="X36" i="30"/>
  <c r="D51" i="20"/>
  <c r="C51" i="20"/>
  <c r="N51" i="20"/>
  <c r="D74" i="20"/>
  <c r="E51" i="20"/>
  <c r="E74" i="20"/>
  <c r="F51" i="20"/>
  <c r="G51" i="20"/>
  <c r="K51" i="20"/>
  <c r="O51" i="20"/>
  <c r="I74" i="20"/>
  <c r="L51" i="20"/>
  <c r="J74" i="20"/>
  <c r="J51" i="20"/>
  <c r="P51" i="20"/>
  <c r="L74" i="20"/>
  <c r="AD51" i="20"/>
  <c r="I51" i="20"/>
  <c r="U51" i="20"/>
  <c r="X51" i="20"/>
  <c r="O74" i="20"/>
  <c r="R51" i="20"/>
  <c r="P74" i="20"/>
  <c r="P72" i="20"/>
  <c r="Q78" i="20"/>
  <c r="Q74" i="20"/>
  <c r="V51" i="20"/>
  <c r="Y51" i="20"/>
  <c r="B51" i="20"/>
  <c r="D52" i="20"/>
  <c r="C52" i="20"/>
  <c r="N52" i="20"/>
  <c r="D75" i="20"/>
  <c r="G75" i="20"/>
  <c r="E52" i="20"/>
  <c r="E75" i="20"/>
  <c r="F52" i="20"/>
  <c r="G52" i="20"/>
  <c r="K52" i="20"/>
  <c r="O52" i="20"/>
  <c r="L52" i="20"/>
  <c r="J75" i="20"/>
  <c r="J52" i="20"/>
  <c r="P52" i="20"/>
  <c r="L75" i="20"/>
  <c r="AD52" i="20"/>
  <c r="I52" i="20"/>
  <c r="U52" i="20"/>
  <c r="X52" i="20"/>
  <c r="O75" i="20"/>
  <c r="R52" i="20"/>
  <c r="P75" i="20"/>
  <c r="Q75" i="20"/>
  <c r="V52" i="20"/>
  <c r="Y52" i="20"/>
  <c r="B52" i="20"/>
  <c r="D53" i="20"/>
  <c r="B76" i="20"/>
  <c r="C53" i="20"/>
  <c r="N53" i="20"/>
  <c r="D76" i="20"/>
  <c r="E53" i="20"/>
  <c r="E76" i="20"/>
  <c r="F53" i="20"/>
  <c r="G53" i="20"/>
  <c r="K53" i="20"/>
  <c r="O53" i="20"/>
  <c r="I76" i="20"/>
  <c r="L53" i="20"/>
  <c r="J76" i="20"/>
  <c r="J53" i="20"/>
  <c r="P53" i="20"/>
  <c r="AD53" i="20"/>
  <c r="I53" i="20"/>
  <c r="U53" i="20"/>
  <c r="X53" i="20"/>
  <c r="O76" i="20"/>
  <c r="R53" i="20"/>
  <c r="P76" i="20"/>
  <c r="Q76" i="20"/>
  <c r="V53" i="20"/>
  <c r="Y53" i="20"/>
  <c r="B53" i="20"/>
  <c r="D54" i="20"/>
  <c r="B77" i="20"/>
  <c r="C54" i="20"/>
  <c r="N54" i="20"/>
  <c r="E54" i="20"/>
  <c r="E77" i="20"/>
  <c r="F54" i="20"/>
  <c r="G54" i="20"/>
  <c r="K54" i="20"/>
  <c r="O54" i="20"/>
  <c r="I77" i="20"/>
  <c r="L54" i="20"/>
  <c r="J77" i="20"/>
  <c r="J54" i="20"/>
  <c r="P54" i="20"/>
  <c r="L77" i="20"/>
  <c r="AD54" i="20"/>
  <c r="I54" i="20"/>
  <c r="U54" i="20"/>
  <c r="X54" i="20"/>
  <c r="O77" i="20"/>
  <c r="R54" i="20"/>
  <c r="P77" i="20"/>
  <c r="Q77" i="20"/>
  <c r="V54" i="20"/>
  <c r="Y54" i="20"/>
  <c r="B54" i="20"/>
  <c r="D55" i="20"/>
  <c r="B78" i="20"/>
  <c r="C55" i="20"/>
  <c r="N55" i="20"/>
  <c r="E55" i="20"/>
  <c r="E78" i="20"/>
  <c r="F55" i="20"/>
  <c r="G55" i="20"/>
  <c r="K55" i="20"/>
  <c r="O55" i="20"/>
  <c r="L55" i="20"/>
  <c r="J78" i="20"/>
  <c r="J55" i="20"/>
  <c r="P55" i="20"/>
  <c r="L78" i="20"/>
  <c r="AD55" i="20"/>
  <c r="I55" i="20"/>
  <c r="U55" i="20"/>
  <c r="X55" i="20"/>
  <c r="O78" i="20"/>
  <c r="R55" i="20"/>
  <c r="P78" i="20"/>
  <c r="R78" i="20"/>
  <c r="V55" i="20"/>
  <c r="Y55" i="20"/>
  <c r="B55" i="20"/>
  <c r="D56" i="20"/>
  <c r="C56" i="20"/>
  <c r="N56" i="20"/>
  <c r="D79" i="20"/>
  <c r="E56" i="20"/>
  <c r="E79" i="20"/>
  <c r="F56" i="20"/>
  <c r="G56" i="20"/>
  <c r="K56" i="20"/>
  <c r="O56" i="20"/>
  <c r="I79" i="20"/>
  <c r="L56" i="20"/>
  <c r="J79" i="20"/>
  <c r="J56" i="20"/>
  <c r="P56" i="20"/>
  <c r="L79" i="20"/>
  <c r="AD56" i="20"/>
  <c r="I56" i="20"/>
  <c r="U56" i="20"/>
  <c r="X56" i="20"/>
  <c r="O79" i="20"/>
  <c r="R56" i="20"/>
  <c r="P79" i="20"/>
  <c r="Q79" i="20"/>
  <c r="V56" i="20"/>
  <c r="Y56" i="20"/>
  <c r="B56" i="20"/>
  <c r="D57" i="20"/>
  <c r="B80" i="20"/>
  <c r="C57" i="20"/>
  <c r="N57" i="20"/>
  <c r="D80" i="20"/>
  <c r="G80" i="20"/>
  <c r="E57" i="20"/>
  <c r="E80" i="20"/>
  <c r="F57" i="20"/>
  <c r="G57" i="20"/>
  <c r="K57" i="20"/>
  <c r="O57" i="20"/>
  <c r="L57" i="20"/>
  <c r="J80" i="20"/>
  <c r="J57" i="20"/>
  <c r="P57" i="20"/>
  <c r="L80" i="20"/>
  <c r="AD57" i="20"/>
  <c r="I57" i="20"/>
  <c r="U57" i="20"/>
  <c r="X57" i="20"/>
  <c r="O80" i="20"/>
  <c r="R57" i="20"/>
  <c r="P80" i="20"/>
  <c r="R80" i="20"/>
  <c r="Q80" i="20"/>
  <c r="V57" i="20"/>
  <c r="Y57" i="20"/>
  <c r="B57" i="20"/>
  <c r="D58" i="20"/>
  <c r="B81" i="20"/>
  <c r="C58" i="20"/>
  <c r="N58" i="20"/>
  <c r="D81" i="20"/>
  <c r="G81" i="20"/>
  <c r="E58" i="20"/>
  <c r="E81" i="20"/>
  <c r="F58" i="20"/>
  <c r="G58" i="20"/>
  <c r="K58" i="20"/>
  <c r="O58" i="20"/>
  <c r="I81" i="20"/>
  <c r="L58" i="20"/>
  <c r="J81" i="20"/>
  <c r="J58" i="20"/>
  <c r="P58" i="20"/>
  <c r="AD58" i="20"/>
  <c r="I58" i="20"/>
  <c r="U58" i="20"/>
  <c r="X58" i="20"/>
  <c r="O81" i="20"/>
  <c r="R58" i="20"/>
  <c r="P81" i="20"/>
  <c r="V58" i="20"/>
  <c r="Y58" i="20"/>
  <c r="B58" i="20"/>
  <c r="S81" i="20"/>
  <c r="D59" i="20"/>
  <c r="C59" i="20"/>
  <c r="N59" i="20"/>
  <c r="E59" i="20"/>
  <c r="E82" i="20"/>
  <c r="F59" i="20"/>
  <c r="G59" i="20"/>
  <c r="K59" i="20"/>
  <c r="O59" i="20"/>
  <c r="L59" i="20"/>
  <c r="J82" i="20"/>
  <c r="J59" i="20"/>
  <c r="P59" i="20"/>
  <c r="L82" i="20"/>
  <c r="AD59" i="20"/>
  <c r="M82" i="20"/>
  <c r="I59" i="20"/>
  <c r="U59" i="20"/>
  <c r="X59" i="20"/>
  <c r="O82" i="20"/>
  <c r="R59" i="20"/>
  <c r="P82" i="20"/>
  <c r="Q82" i="20"/>
  <c r="V59" i="20"/>
  <c r="B59" i="20"/>
  <c r="D60" i="20"/>
  <c r="C60" i="20"/>
  <c r="N60" i="20"/>
  <c r="D83" i="20"/>
  <c r="E60" i="20"/>
  <c r="E83" i="20"/>
  <c r="F60" i="20"/>
  <c r="G60" i="20"/>
  <c r="K60" i="20"/>
  <c r="O60" i="20"/>
  <c r="L60" i="20"/>
  <c r="J83" i="20"/>
  <c r="J60" i="20"/>
  <c r="P60" i="20"/>
  <c r="L83" i="20"/>
  <c r="AD60" i="20"/>
  <c r="I60" i="20"/>
  <c r="U60" i="20"/>
  <c r="X60" i="20"/>
  <c r="O83" i="20"/>
  <c r="R60" i="20"/>
  <c r="P83" i="20"/>
  <c r="Q83" i="20"/>
  <c r="V60" i="20"/>
  <c r="B60" i="20"/>
  <c r="F6" i="32"/>
  <c r="DO3" i="20"/>
  <c r="C57" i="32"/>
  <c r="P57" i="32"/>
  <c r="DT3" i="20"/>
  <c r="H57" i="32"/>
  <c r="CV3" i="20"/>
  <c r="N33" i="32"/>
  <c r="CU3" i="20"/>
  <c r="O33" i="32"/>
  <c r="CP3" i="20"/>
  <c r="CQ3" i="20"/>
  <c r="F14" i="32"/>
  <c r="CP11" i="20"/>
  <c r="CQ11" i="20"/>
  <c r="CR11" i="20"/>
  <c r="CW11" i="20"/>
  <c r="BX11" i="20"/>
  <c r="G41" i="32"/>
  <c r="BZ11" i="20"/>
  <c r="H41" i="32"/>
  <c r="BY11" i="20"/>
  <c r="I41" i="32"/>
  <c r="I14" i="32"/>
  <c r="K14" i="32"/>
  <c r="CU11" i="20"/>
  <c r="O41" i="32"/>
  <c r="F15" i="32"/>
  <c r="CP12" i="20"/>
  <c r="CQ12" i="20"/>
  <c r="CR12" i="20"/>
  <c r="CW12" i="20"/>
  <c r="BX12" i="20"/>
  <c r="G42" i="32"/>
  <c r="BZ12" i="20"/>
  <c r="H42" i="32"/>
  <c r="BY12" i="20"/>
  <c r="I42" i="32"/>
  <c r="I15" i="32"/>
  <c r="K15" i="32"/>
  <c r="CU12" i="20"/>
  <c r="O42" i="32"/>
  <c r="D109" i="20"/>
  <c r="C109" i="20"/>
  <c r="N109" i="20"/>
  <c r="D132" i="20"/>
  <c r="E109" i="20"/>
  <c r="E132" i="20"/>
  <c r="F109" i="20"/>
  <c r="G109" i="20"/>
  <c r="K109" i="20"/>
  <c r="O109" i="20"/>
  <c r="L109" i="20"/>
  <c r="J132" i="20"/>
  <c r="J109" i="20"/>
  <c r="P109" i="20"/>
  <c r="L132" i="20"/>
  <c r="AD109" i="20"/>
  <c r="I109" i="20"/>
  <c r="BC109" i="20"/>
  <c r="BD109" i="20"/>
  <c r="U109" i="20"/>
  <c r="X109" i="20"/>
  <c r="O132" i="20"/>
  <c r="R109" i="20"/>
  <c r="P132" i="20"/>
  <c r="Q132" i="20"/>
  <c r="V109" i="20"/>
  <c r="Y109" i="20"/>
  <c r="B109" i="20"/>
  <c r="CP13" i="20"/>
  <c r="CQ13" i="20"/>
  <c r="CR13" i="20"/>
  <c r="CW13" i="20"/>
  <c r="CA13" i="20"/>
  <c r="J43" i="32"/>
  <c r="BX13" i="20"/>
  <c r="G43" i="32"/>
  <c r="BZ13" i="20"/>
  <c r="H43" i="32"/>
  <c r="BY13" i="20"/>
  <c r="I43" i="32"/>
  <c r="I16" i="32"/>
  <c r="K16" i="32"/>
  <c r="CU13" i="20"/>
  <c r="O43" i="32"/>
  <c r="D110" i="20"/>
  <c r="C110" i="20"/>
  <c r="N110" i="20"/>
  <c r="E110" i="20"/>
  <c r="E133" i="20"/>
  <c r="F110" i="20"/>
  <c r="G110" i="20"/>
  <c r="K110" i="20"/>
  <c r="O110" i="20"/>
  <c r="L110" i="20"/>
  <c r="J133" i="20"/>
  <c r="J110" i="20"/>
  <c r="P110" i="20"/>
  <c r="L133" i="20"/>
  <c r="AD110" i="20"/>
  <c r="I110" i="20"/>
  <c r="BC110" i="20"/>
  <c r="BD110" i="20"/>
  <c r="U110" i="20"/>
  <c r="X110" i="20"/>
  <c r="O133" i="20"/>
  <c r="R110" i="20"/>
  <c r="P133" i="20"/>
  <c r="Q133" i="20"/>
  <c r="V110" i="20"/>
  <c r="Y110" i="20"/>
  <c r="B110" i="20"/>
  <c r="F17" i="32"/>
  <c r="CP14" i="20"/>
  <c r="CQ14" i="20"/>
  <c r="CR14" i="20"/>
  <c r="CW14" i="20"/>
  <c r="CA14" i="20"/>
  <c r="J44" i="32"/>
  <c r="BX14" i="20"/>
  <c r="G44" i="32"/>
  <c r="BZ14" i="20"/>
  <c r="H44" i="32"/>
  <c r="BY14" i="20"/>
  <c r="I44" i="32"/>
  <c r="I17" i="32"/>
  <c r="K17" i="32"/>
  <c r="CU14" i="20"/>
  <c r="O44" i="32"/>
  <c r="D111" i="20"/>
  <c r="C111" i="20"/>
  <c r="N111" i="20"/>
  <c r="D134" i="20"/>
  <c r="E111" i="20"/>
  <c r="E134" i="20"/>
  <c r="F111" i="20"/>
  <c r="G111" i="20"/>
  <c r="K111" i="20"/>
  <c r="O111" i="20"/>
  <c r="I134" i="20"/>
  <c r="L111" i="20"/>
  <c r="J134" i="20"/>
  <c r="J111" i="20"/>
  <c r="P111" i="20"/>
  <c r="L134" i="20"/>
  <c r="AD111" i="20"/>
  <c r="I111" i="20"/>
  <c r="BC111" i="20"/>
  <c r="BD111" i="20"/>
  <c r="U111" i="20"/>
  <c r="X111" i="20"/>
  <c r="O134" i="20"/>
  <c r="R111" i="20"/>
  <c r="P134" i="20"/>
  <c r="R134" i="20"/>
  <c r="Q134" i="20"/>
  <c r="V111" i="20"/>
  <c r="Y111" i="20"/>
  <c r="B111" i="20"/>
  <c r="F18" i="32"/>
  <c r="CP15" i="20"/>
  <c r="CQ15" i="20"/>
  <c r="CR15" i="20"/>
  <c r="CW15" i="20"/>
  <c r="D45" i="32"/>
  <c r="BX15" i="20"/>
  <c r="G45" i="32"/>
  <c r="BZ15" i="20"/>
  <c r="H45" i="32"/>
  <c r="BY15" i="20"/>
  <c r="I45" i="32"/>
  <c r="I18" i="32"/>
  <c r="K18" i="32"/>
  <c r="CU15" i="20"/>
  <c r="O45" i="32"/>
  <c r="D112" i="20"/>
  <c r="B135" i="20"/>
  <c r="C112" i="20"/>
  <c r="N112" i="20"/>
  <c r="D135" i="20"/>
  <c r="E112" i="20"/>
  <c r="E135" i="20"/>
  <c r="F112" i="20"/>
  <c r="G112" i="20"/>
  <c r="K112" i="20"/>
  <c r="O112" i="20"/>
  <c r="I135" i="20"/>
  <c r="L112" i="20"/>
  <c r="J135" i="20"/>
  <c r="J112" i="20"/>
  <c r="P112" i="20"/>
  <c r="L135" i="20"/>
  <c r="AD112" i="20"/>
  <c r="I112" i="20"/>
  <c r="BC112" i="20"/>
  <c r="BD112" i="20"/>
  <c r="U112" i="20"/>
  <c r="X112" i="20"/>
  <c r="O135" i="20"/>
  <c r="R112" i="20"/>
  <c r="P135" i="20"/>
  <c r="Q135" i="20"/>
  <c r="V112" i="20"/>
  <c r="Y112" i="20"/>
  <c r="B112" i="20"/>
  <c r="CP16" i="20"/>
  <c r="CQ16" i="20"/>
  <c r="CR16" i="20"/>
  <c r="CW16" i="20"/>
  <c r="BX16" i="20"/>
  <c r="G46" i="32"/>
  <c r="BZ16" i="20"/>
  <c r="H46" i="32"/>
  <c r="BY16" i="20"/>
  <c r="I46" i="32"/>
  <c r="I19" i="32"/>
  <c r="K19" i="32"/>
  <c r="CU16" i="20"/>
  <c r="O46" i="32"/>
  <c r="D113" i="20"/>
  <c r="C113" i="20"/>
  <c r="N113" i="20"/>
  <c r="E113" i="20"/>
  <c r="E136" i="20"/>
  <c r="F113" i="20"/>
  <c r="G113" i="20"/>
  <c r="K113" i="20"/>
  <c r="O113" i="20"/>
  <c r="I136" i="20"/>
  <c r="L113" i="20"/>
  <c r="J136" i="20"/>
  <c r="J113" i="20"/>
  <c r="P113" i="20"/>
  <c r="L136" i="20"/>
  <c r="AD113" i="20"/>
  <c r="I113" i="20"/>
  <c r="BC113" i="20"/>
  <c r="BD113" i="20"/>
  <c r="U113" i="20"/>
  <c r="X113" i="20"/>
  <c r="O136" i="20"/>
  <c r="R113" i="20"/>
  <c r="P136" i="20"/>
  <c r="Q136" i="20"/>
  <c r="V113" i="20"/>
  <c r="Y113" i="20"/>
  <c r="B113" i="20"/>
  <c r="F20" i="32"/>
  <c r="CP17" i="20"/>
  <c r="CQ17" i="20"/>
  <c r="CR17" i="20"/>
  <c r="CW17" i="20"/>
  <c r="BX17" i="20"/>
  <c r="G47" i="32"/>
  <c r="BZ17" i="20"/>
  <c r="H47" i="32"/>
  <c r="BY17" i="20"/>
  <c r="I47" i="32"/>
  <c r="I20" i="32"/>
  <c r="K20" i="32"/>
  <c r="CU17" i="20"/>
  <c r="O47" i="32"/>
  <c r="D114" i="20"/>
  <c r="B137" i="20"/>
  <c r="F137" i="20"/>
  <c r="C114" i="20"/>
  <c r="N114" i="20"/>
  <c r="D137" i="20"/>
  <c r="E114" i="20"/>
  <c r="E137" i="20"/>
  <c r="F114" i="20"/>
  <c r="G114" i="20"/>
  <c r="K114" i="20"/>
  <c r="O114" i="20"/>
  <c r="L114" i="20"/>
  <c r="J137" i="20"/>
  <c r="J114" i="20"/>
  <c r="P114" i="20"/>
  <c r="L137" i="20"/>
  <c r="AD114" i="20"/>
  <c r="I114" i="20"/>
  <c r="BC114" i="20"/>
  <c r="BD114" i="20"/>
  <c r="U114" i="20"/>
  <c r="X114" i="20"/>
  <c r="O137" i="20"/>
  <c r="R114" i="20"/>
  <c r="P137" i="20"/>
  <c r="Q137" i="20"/>
  <c r="V114" i="20"/>
  <c r="Y114" i="20"/>
  <c r="B114" i="20"/>
  <c r="F21" i="32"/>
  <c r="CP18" i="20"/>
  <c r="CQ18" i="20"/>
  <c r="CR18" i="20"/>
  <c r="CW18" i="20"/>
  <c r="BX18" i="20"/>
  <c r="G48" i="32"/>
  <c r="BZ18" i="20"/>
  <c r="H48" i="32"/>
  <c r="BY18" i="20"/>
  <c r="I48" i="32"/>
  <c r="I21" i="32"/>
  <c r="K21" i="32"/>
  <c r="CU18" i="20"/>
  <c r="O48" i="32"/>
  <c r="D115" i="20"/>
  <c r="B138" i="20"/>
  <c r="C115" i="20"/>
  <c r="N115" i="20"/>
  <c r="D138" i="20"/>
  <c r="E115" i="20"/>
  <c r="E138" i="20"/>
  <c r="F115" i="20"/>
  <c r="G115" i="20"/>
  <c r="K115" i="20"/>
  <c r="O115" i="20"/>
  <c r="I138" i="20"/>
  <c r="L115" i="20"/>
  <c r="J138" i="20"/>
  <c r="J115" i="20"/>
  <c r="P115" i="20"/>
  <c r="L138" i="20"/>
  <c r="AD115" i="20"/>
  <c r="I115" i="20"/>
  <c r="BC115" i="20"/>
  <c r="BD115" i="20"/>
  <c r="U115" i="20"/>
  <c r="X115" i="20"/>
  <c r="O138" i="20"/>
  <c r="R115" i="20"/>
  <c r="P138" i="20"/>
  <c r="Q138" i="20"/>
  <c r="V115" i="20"/>
  <c r="Y115" i="20"/>
  <c r="B115" i="20"/>
  <c r="BN19" i="20"/>
  <c r="BO19" i="20"/>
  <c r="BP19" i="20"/>
  <c r="BQ19" i="20"/>
  <c r="CP19" i="20"/>
  <c r="CQ19" i="20"/>
  <c r="CR19" i="20"/>
  <c r="CW19" i="20"/>
  <c r="BX19" i="20"/>
  <c r="BZ19" i="20"/>
  <c r="BY19" i="20"/>
  <c r="BR19" i="20"/>
  <c r="BS19" i="20"/>
  <c r="CU19" i="20"/>
  <c r="D116" i="20"/>
  <c r="B139" i="20" s="1"/>
  <c r="C116" i="20"/>
  <c r="C139" i="20" s="1"/>
  <c r="N116" i="20"/>
  <c r="D139" i="20" s="1"/>
  <c r="E116" i="20"/>
  <c r="E139" i="20" s="1"/>
  <c r="F116" i="20"/>
  <c r="G116" i="20"/>
  <c r="K116" i="20"/>
  <c r="O116" i="20"/>
  <c r="I139" i="20"/>
  <c r="L116" i="20"/>
  <c r="J139" i="20" s="1"/>
  <c r="J116" i="20"/>
  <c r="P116" i="20"/>
  <c r="AD116" i="20"/>
  <c r="I116" i="20"/>
  <c r="BC116" i="20"/>
  <c r="BD116" i="20"/>
  <c r="U116" i="20"/>
  <c r="X116" i="20"/>
  <c r="O139" i="20" s="1"/>
  <c r="R116" i="20"/>
  <c r="P139" i="20" s="1"/>
  <c r="R139" i="20" s="1"/>
  <c r="Q139" i="20"/>
  <c r="V116" i="20"/>
  <c r="Y116" i="20"/>
  <c r="B116" i="20"/>
  <c r="BN20" i="20"/>
  <c r="BO20" i="20" s="1"/>
  <c r="BP20" i="20"/>
  <c r="BQ20" i="20" s="1"/>
  <c r="CP20" i="20"/>
  <c r="CQ20" i="20"/>
  <c r="CR20" i="20"/>
  <c r="CW20" i="20"/>
  <c r="BT20" i="20"/>
  <c r="BX20" i="20"/>
  <c r="BZ20" i="20"/>
  <c r="BY20" i="20"/>
  <c r="BR20" i="20"/>
  <c r="BS20" i="20"/>
  <c r="CU20" i="20"/>
  <c r="D117" i="20"/>
  <c r="C117" i="20"/>
  <c r="N117" i="20"/>
  <c r="D140" i="20"/>
  <c r="E117" i="20"/>
  <c r="E140" i="20"/>
  <c r="F117" i="20"/>
  <c r="G117" i="20"/>
  <c r="K117" i="20"/>
  <c r="O117" i="20"/>
  <c r="L117" i="20"/>
  <c r="J140" i="20"/>
  <c r="J117" i="20"/>
  <c r="P117" i="20"/>
  <c r="L140" i="20"/>
  <c r="AD117" i="20"/>
  <c r="I117" i="20"/>
  <c r="BC117" i="20"/>
  <c r="BD117" i="20"/>
  <c r="U117" i="20"/>
  <c r="X117" i="20"/>
  <c r="O140" i="20"/>
  <c r="R117" i="20"/>
  <c r="P140" i="20"/>
  <c r="Q140" i="20"/>
  <c r="V117" i="20"/>
  <c r="Y117" i="20"/>
  <c r="B117" i="20"/>
  <c r="BN21" i="20"/>
  <c r="BP21" i="20"/>
  <c r="BQ21" i="20"/>
  <c r="CP21" i="20"/>
  <c r="CQ21" i="20"/>
  <c r="CR21" i="20"/>
  <c r="CW21" i="20"/>
  <c r="BT21" i="20"/>
  <c r="BX21" i="20"/>
  <c r="BZ21" i="20"/>
  <c r="BY21" i="20"/>
  <c r="BR21" i="20"/>
  <c r="BS21" i="20"/>
  <c r="CU21" i="20"/>
  <c r="D118" i="20"/>
  <c r="B141" i="20"/>
  <c r="C118" i="20"/>
  <c r="N118" i="20"/>
  <c r="D141" i="20"/>
  <c r="E118" i="20"/>
  <c r="E141" i="20"/>
  <c r="F141" i="20"/>
  <c r="F118" i="20"/>
  <c r="G118" i="20"/>
  <c r="K118" i="20"/>
  <c r="H141" i="20"/>
  <c r="O118" i="20"/>
  <c r="I141" i="20"/>
  <c r="L118" i="20"/>
  <c r="J141" i="20"/>
  <c r="J118" i="20"/>
  <c r="K141" i="20"/>
  <c r="P118" i="20"/>
  <c r="L141" i="20"/>
  <c r="AD118" i="20"/>
  <c r="I118" i="20"/>
  <c r="BC118" i="20"/>
  <c r="BD118" i="20"/>
  <c r="U118" i="20"/>
  <c r="X118" i="20"/>
  <c r="O141" i="20"/>
  <c r="R118" i="20"/>
  <c r="P141" i="20"/>
  <c r="Q141" i="20"/>
  <c r="V118" i="20"/>
  <c r="Y118" i="20"/>
  <c r="B118" i="20"/>
  <c r="BN22" i="20"/>
  <c r="BP22" i="20"/>
  <c r="BQ22" i="20"/>
  <c r="CP22" i="20"/>
  <c r="CQ22" i="20"/>
  <c r="CR22" i="20"/>
  <c r="CW22" i="20"/>
  <c r="BT22" i="20"/>
  <c r="CA22" i="20"/>
  <c r="BX22" i="20"/>
  <c r="BZ22" i="20"/>
  <c r="BY22" i="20"/>
  <c r="BR22" i="20"/>
  <c r="BS22" i="20"/>
  <c r="CU22" i="20"/>
  <c r="CE3" i="20"/>
  <c r="CH3" i="20"/>
  <c r="CK3" i="20"/>
  <c r="CE4" i="20"/>
  <c r="CH4" i="20"/>
  <c r="CK4" i="20"/>
  <c r="CE5" i="20"/>
  <c r="CH5" i="20"/>
  <c r="CK5" i="20"/>
  <c r="CE6" i="20"/>
  <c r="CH6" i="20"/>
  <c r="CK6" i="20"/>
  <c r="CE7" i="20"/>
  <c r="CH7" i="20"/>
  <c r="CK7" i="20"/>
  <c r="CE8" i="20"/>
  <c r="CH8" i="20"/>
  <c r="CK8" i="20"/>
  <c r="CE9" i="20"/>
  <c r="CH9" i="20"/>
  <c r="CK9" i="20"/>
  <c r="CE10" i="20"/>
  <c r="CH10" i="20"/>
  <c r="CK10" i="20"/>
  <c r="CE11" i="20"/>
  <c r="CH11" i="20"/>
  <c r="CK11" i="20"/>
  <c r="CE12" i="20"/>
  <c r="CH12" i="20"/>
  <c r="CK12" i="20"/>
  <c r="CE13" i="20"/>
  <c r="CH13" i="20"/>
  <c r="CK13" i="20"/>
  <c r="CE14" i="20"/>
  <c r="CH14" i="20"/>
  <c r="CK14" i="20"/>
  <c r="CE15" i="20"/>
  <c r="CH15" i="20"/>
  <c r="CK15" i="20"/>
  <c r="CE16" i="20"/>
  <c r="CH16" i="20"/>
  <c r="CK16" i="20"/>
  <c r="CE17" i="20"/>
  <c r="CH17" i="20"/>
  <c r="CK17" i="20"/>
  <c r="CE18" i="20"/>
  <c r="CH18" i="20"/>
  <c r="CK18" i="20"/>
  <c r="CE19" i="20"/>
  <c r="CH19" i="20"/>
  <c r="CK19" i="20"/>
  <c r="CE20" i="20"/>
  <c r="CH20" i="20"/>
  <c r="CK20" i="20"/>
  <c r="CE21" i="20"/>
  <c r="CH21" i="20"/>
  <c r="CK21" i="20"/>
  <c r="CE22" i="20"/>
  <c r="CH22" i="20"/>
  <c r="CK22" i="20"/>
  <c r="CX11" i="20"/>
  <c r="CY11" i="20"/>
  <c r="CZ11" i="20"/>
  <c r="DA11" i="20"/>
  <c r="DC11" i="20"/>
  <c r="DD11" i="20"/>
  <c r="DF11" i="20"/>
  <c r="DG11" i="20"/>
  <c r="DH11" i="20"/>
  <c r="DI11" i="20"/>
  <c r="DJ11" i="20"/>
  <c r="DK11" i="20"/>
  <c r="CX12" i="20"/>
  <c r="CY12" i="20"/>
  <c r="CZ12" i="20"/>
  <c r="DA12" i="20"/>
  <c r="DC12" i="20"/>
  <c r="DD12" i="20"/>
  <c r="DF12" i="20"/>
  <c r="DG12" i="20"/>
  <c r="DH12" i="20"/>
  <c r="DI12" i="20"/>
  <c r="DJ12" i="20"/>
  <c r="DK12" i="20"/>
  <c r="CX13" i="20"/>
  <c r="CY13" i="20"/>
  <c r="CZ13" i="20"/>
  <c r="DA13" i="20"/>
  <c r="DC13" i="20"/>
  <c r="DD13" i="20"/>
  <c r="DF13" i="20"/>
  <c r="DG13" i="20"/>
  <c r="DH13" i="20"/>
  <c r="DI13" i="20"/>
  <c r="DJ13" i="20"/>
  <c r="DK13" i="20"/>
  <c r="CX14" i="20"/>
  <c r="CY14" i="20"/>
  <c r="CZ14" i="20"/>
  <c r="DA14" i="20"/>
  <c r="DC14" i="20"/>
  <c r="DD14" i="20"/>
  <c r="DF14" i="20"/>
  <c r="DG14" i="20"/>
  <c r="DH14" i="20"/>
  <c r="DI14" i="20"/>
  <c r="DJ14" i="20"/>
  <c r="DK14" i="20"/>
  <c r="CX15" i="20"/>
  <c r="CY15" i="20"/>
  <c r="CZ15" i="20"/>
  <c r="DA15" i="20"/>
  <c r="DC15" i="20"/>
  <c r="DD15" i="20"/>
  <c r="DF15" i="20"/>
  <c r="DG15" i="20"/>
  <c r="DH15" i="20"/>
  <c r="DI15" i="20"/>
  <c r="DJ15" i="20"/>
  <c r="DK15" i="20"/>
  <c r="CX16" i="20"/>
  <c r="CY16" i="20"/>
  <c r="CZ16" i="20"/>
  <c r="DA16" i="20"/>
  <c r="DC16" i="20"/>
  <c r="DD16" i="20"/>
  <c r="DF16" i="20"/>
  <c r="DG16" i="20"/>
  <c r="DH16" i="20"/>
  <c r="DI16" i="20"/>
  <c r="DJ16" i="20"/>
  <c r="DK16" i="20"/>
  <c r="CX17" i="20"/>
  <c r="CY17" i="20"/>
  <c r="CZ17" i="20"/>
  <c r="DA17" i="20"/>
  <c r="DC17" i="20"/>
  <c r="DD17" i="20"/>
  <c r="DF17" i="20"/>
  <c r="DG17" i="20"/>
  <c r="DH17" i="20"/>
  <c r="DI17" i="20"/>
  <c r="DJ17" i="20"/>
  <c r="DK17" i="20"/>
  <c r="CX18" i="20"/>
  <c r="CY18" i="20"/>
  <c r="CZ18" i="20"/>
  <c r="DA18" i="20"/>
  <c r="DC18" i="20"/>
  <c r="DD18" i="20"/>
  <c r="DF18" i="20"/>
  <c r="DG18" i="20"/>
  <c r="DH18" i="20"/>
  <c r="DI18" i="20"/>
  <c r="DJ18" i="20"/>
  <c r="DK18" i="20"/>
  <c r="CX19" i="20"/>
  <c r="DZ19" i="20"/>
  <c r="CY19" i="20"/>
  <c r="DY19" i="20"/>
  <c r="CZ19" i="20"/>
  <c r="DV19" i="20"/>
  <c r="DA19" i="20"/>
  <c r="DX19" i="20"/>
  <c r="DC19" i="20"/>
  <c r="DU19" i="20"/>
  <c r="DD19" i="20"/>
  <c r="DW19" i="20"/>
  <c r="DF19" i="20"/>
  <c r="DS19" i="20"/>
  <c r="DG19" i="20"/>
  <c r="DT19" i="20"/>
  <c r="DH19" i="20"/>
  <c r="DP19" i="20"/>
  <c r="DI19" i="20"/>
  <c r="DR19" i="20"/>
  <c r="DJ19" i="20"/>
  <c r="DO19" i="20"/>
  <c r="DK19" i="20"/>
  <c r="DQ19" i="20"/>
  <c r="CX20" i="20"/>
  <c r="DZ20" i="20" s="1"/>
  <c r="CY20" i="20"/>
  <c r="DY20" i="20" s="1"/>
  <c r="CZ20" i="20"/>
  <c r="DV20" i="20" s="1"/>
  <c r="DA20" i="20"/>
  <c r="DX20" i="20" s="1"/>
  <c r="DC20" i="20"/>
  <c r="DU20" i="20" s="1"/>
  <c r="DD20" i="20"/>
  <c r="DW20" i="20" s="1"/>
  <c r="DF20" i="20"/>
  <c r="DS20" i="20" s="1"/>
  <c r="DG20" i="20"/>
  <c r="DT20" i="20" s="1"/>
  <c r="DH20" i="20"/>
  <c r="DP20" i="20" s="1"/>
  <c r="DI20" i="20"/>
  <c r="DR20" i="20" s="1"/>
  <c r="DJ20" i="20"/>
  <c r="DO20" i="20" s="1"/>
  <c r="DK20" i="20"/>
  <c r="DQ20" i="20" s="1"/>
  <c r="CX21" i="20"/>
  <c r="CY21" i="20"/>
  <c r="CZ21" i="20"/>
  <c r="DA21" i="20"/>
  <c r="DC21" i="20"/>
  <c r="DD21" i="20"/>
  <c r="DF21" i="20"/>
  <c r="DG21" i="20"/>
  <c r="DH21" i="20"/>
  <c r="DI21" i="20"/>
  <c r="DJ21" i="20"/>
  <c r="DK21" i="20"/>
  <c r="CX22" i="20"/>
  <c r="CY22" i="20"/>
  <c r="CZ22" i="20"/>
  <c r="DA22" i="20"/>
  <c r="DC22" i="20"/>
  <c r="DD22" i="20"/>
  <c r="DF22" i="20"/>
  <c r="DG22" i="20"/>
  <c r="DH22" i="20"/>
  <c r="DI22" i="20"/>
  <c r="DJ22" i="20"/>
  <c r="DK22" i="20"/>
  <c r="DB4" i="20"/>
  <c r="DE4" i="20"/>
  <c r="DB3" i="20"/>
  <c r="DE3" i="20"/>
  <c r="CM4" i="20"/>
  <c r="CN4" i="20"/>
  <c r="CO4" i="20"/>
  <c r="CM5" i="20"/>
  <c r="CN5" i="20"/>
  <c r="CO5" i="20"/>
  <c r="CM6" i="20"/>
  <c r="CN6" i="20"/>
  <c r="CO6" i="20"/>
  <c r="CM7" i="20"/>
  <c r="CN7" i="20"/>
  <c r="CO7" i="20"/>
  <c r="CM8" i="20"/>
  <c r="CN8" i="20"/>
  <c r="CO8" i="20"/>
  <c r="CM9" i="20"/>
  <c r="CN9" i="20"/>
  <c r="CO9" i="20"/>
  <c r="CM10" i="20"/>
  <c r="CN10" i="20"/>
  <c r="CO10" i="20"/>
  <c r="CM11" i="20"/>
  <c r="CN11" i="20"/>
  <c r="CO11" i="20"/>
  <c r="CM12" i="20"/>
  <c r="CN12" i="20"/>
  <c r="CO12" i="20"/>
  <c r="CM13" i="20"/>
  <c r="CN13" i="20"/>
  <c r="CO13" i="20"/>
  <c r="CM14" i="20"/>
  <c r="CN14" i="20"/>
  <c r="CO14" i="20"/>
  <c r="CM15" i="20"/>
  <c r="CN15" i="20"/>
  <c r="CO15" i="20"/>
  <c r="CM16" i="20"/>
  <c r="CN16" i="20"/>
  <c r="CO16" i="20"/>
  <c r="CM17" i="20"/>
  <c r="CN17" i="20"/>
  <c r="CO17" i="20"/>
  <c r="CM18" i="20"/>
  <c r="CN18" i="20"/>
  <c r="CO18" i="20"/>
  <c r="CM19" i="20"/>
  <c r="CN19" i="20"/>
  <c r="CO19" i="20"/>
  <c r="CM20" i="20"/>
  <c r="CN20" i="20"/>
  <c r="CO20" i="20"/>
  <c r="CM21" i="20"/>
  <c r="CN21" i="20"/>
  <c r="CO21" i="20"/>
  <c r="CM22" i="20"/>
  <c r="CN22" i="20"/>
  <c r="CO22" i="20"/>
  <c r="CO3" i="20"/>
  <c r="CN3" i="20"/>
  <c r="BV12" i="20"/>
  <c r="C42" i="32"/>
  <c r="BV13" i="20"/>
  <c r="C43" i="32"/>
  <c r="BV14" i="20"/>
  <c r="C44" i="32"/>
  <c r="BV16" i="20"/>
  <c r="C46" i="32"/>
  <c r="BV17" i="20"/>
  <c r="C47" i="32"/>
  <c r="BV18" i="20"/>
  <c r="C48" i="32"/>
  <c r="BV20" i="20"/>
  <c r="BV21" i="20"/>
  <c r="BV22" i="20"/>
  <c r="K26" i="20"/>
  <c r="P61" i="20"/>
  <c r="L84" i="20"/>
  <c r="P62" i="20"/>
  <c r="L85" i="20"/>
  <c r="P63" i="20"/>
  <c r="L86" i="20"/>
  <c r="P64" i="20"/>
  <c r="L87" i="20"/>
  <c r="P65" i="20"/>
  <c r="L88" i="20"/>
  <c r="P66" i="20"/>
  <c r="L89" i="20"/>
  <c r="P67" i="20"/>
  <c r="L90" i="20"/>
  <c r="P68" i="20"/>
  <c r="L91" i="20" s="1"/>
  <c r="P69" i="20"/>
  <c r="P70" i="20"/>
  <c r="L93" i="20"/>
  <c r="J61" i="20"/>
  <c r="N61" i="20"/>
  <c r="D84" i="20"/>
  <c r="J62" i="20"/>
  <c r="N62" i="20"/>
  <c r="J63" i="20"/>
  <c r="N63" i="20"/>
  <c r="D86" i="20"/>
  <c r="J64" i="20"/>
  <c r="N64" i="20"/>
  <c r="J65" i="20"/>
  <c r="N65" i="20"/>
  <c r="D88" i="20"/>
  <c r="G88" i="20"/>
  <c r="J66" i="20"/>
  <c r="N66" i="20"/>
  <c r="K89" i="20"/>
  <c r="D89" i="20"/>
  <c r="J67" i="20"/>
  <c r="N67" i="20"/>
  <c r="D90" i="20"/>
  <c r="J68" i="20"/>
  <c r="K91" i="20" s="1"/>
  <c r="N68" i="20"/>
  <c r="D91" i="20" s="1"/>
  <c r="J69" i="20"/>
  <c r="N69" i="20"/>
  <c r="D92" i="20"/>
  <c r="J70" i="20"/>
  <c r="K93" i="20"/>
  <c r="N70" i="20"/>
  <c r="D93" i="20"/>
  <c r="M73" i="20"/>
  <c r="L73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I180" i="32"/>
  <c r="I181" i="32"/>
  <c r="I182" i="32"/>
  <c r="I183" i="32"/>
  <c r="I184" i="32"/>
  <c r="I185" i="32"/>
  <c r="I186" i="32"/>
  <c r="I187" i="32"/>
  <c r="I188" i="32"/>
  <c r="I189" i="32"/>
  <c r="I190" i="32"/>
  <c r="I191" i="32"/>
  <c r="I192" i="32"/>
  <c r="I193" i="32"/>
  <c r="I194" i="32"/>
  <c r="BM19" i="20"/>
  <c r="BM20" i="20"/>
  <c r="BM21" i="20"/>
  <c r="BM22" i="20"/>
  <c r="I179" i="32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AT99" i="20"/>
  <c r="AU99" i="20"/>
  <c r="AV99" i="20"/>
  <c r="AW99" i="20"/>
  <c r="BA99" i="20"/>
  <c r="AZ99" i="20"/>
  <c r="BB99" i="20"/>
  <c r="BE99" i="20"/>
  <c r="AX99" i="20"/>
  <c r="AY99" i="20"/>
  <c r="AH100" i="20"/>
  <c r="AI100" i="20"/>
  <c r="AJ100" i="20"/>
  <c r="AK100" i="20"/>
  <c r="AL100" i="20"/>
  <c r="AM100" i="20"/>
  <c r="AN100" i="20"/>
  <c r="AO100" i="20"/>
  <c r="AP100" i="20"/>
  <c r="AQ100" i="20"/>
  <c r="AR100" i="20"/>
  <c r="AS100" i="20"/>
  <c r="AT100" i="20"/>
  <c r="AU100" i="20"/>
  <c r="AV100" i="20"/>
  <c r="AW100" i="20"/>
  <c r="BA100" i="20"/>
  <c r="AZ100" i="20"/>
  <c r="BB100" i="20"/>
  <c r="BE100" i="20"/>
  <c r="AX100" i="20"/>
  <c r="AY100" i="20"/>
  <c r="AH101" i="20"/>
  <c r="AI101" i="20"/>
  <c r="AJ101" i="20"/>
  <c r="AK101" i="20"/>
  <c r="AL101" i="20"/>
  <c r="AM101" i="20"/>
  <c r="AN101" i="20"/>
  <c r="AO101" i="20"/>
  <c r="AP101" i="20"/>
  <c r="AQ101" i="20"/>
  <c r="AR101" i="20"/>
  <c r="AS101" i="20"/>
  <c r="AT101" i="20"/>
  <c r="AU101" i="20"/>
  <c r="AV101" i="20"/>
  <c r="AW101" i="20"/>
  <c r="BA101" i="20"/>
  <c r="AZ101" i="20"/>
  <c r="BB101" i="20"/>
  <c r="BE101" i="20"/>
  <c r="AX101" i="20"/>
  <c r="AY101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AT102" i="20"/>
  <c r="AU102" i="20"/>
  <c r="AV102" i="20"/>
  <c r="AW102" i="20"/>
  <c r="BA102" i="20"/>
  <c r="AZ102" i="20"/>
  <c r="BB102" i="20"/>
  <c r="BE102" i="20"/>
  <c r="AX102" i="20"/>
  <c r="AY102" i="20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AT103" i="20"/>
  <c r="AU103" i="20"/>
  <c r="AV103" i="20"/>
  <c r="AW103" i="20"/>
  <c r="BA103" i="20"/>
  <c r="AZ103" i="20"/>
  <c r="BB103" i="20"/>
  <c r="BE103" i="20"/>
  <c r="AX103" i="20"/>
  <c r="AY103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BA104" i="20"/>
  <c r="AZ104" i="20"/>
  <c r="BB104" i="20"/>
  <c r="BE104" i="20"/>
  <c r="AX104" i="20"/>
  <c r="AY104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AT105" i="20"/>
  <c r="AU105" i="20"/>
  <c r="AV105" i="20"/>
  <c r="AW105" i="20"/>
  <c r="BA105" i="20"/>
  <c r="AZ105" i="20"/>
  <c r="BB105" i="20"/>
  <c r="BE105" i="20"/>
  <c r="AX105" i="20"/>
  <c r="AY105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AT106" i="20"/>
  <c r="AU106" i="20"/>
  <c r="AV106" i="20"/>
  <c r="AW106" i="20"/>
  <c r="BA106" i="20"/>
  <c r="AZ106" i="20"/>
  <c r="BB106" i="20"/>
  <c r="BE106" i="20"/>
  <c r="AX106" i="20"/>
  <c r="AY106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AT107" i="20"/>
  <c r="AU107" i="20"/>
  <c r="AV107" i="20"/>
  <c r="AW107" i="20"/>
  <c r="BA107" i="20"/>
  <c r="AZ107" i="20"/>
  <c r="BB107" i="20"/>
  <c r="BE107" i="20"/>
  <c r="AX107" i="20"/>
  <c r="AY107" i="20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AT108" i="20"/>
  <c r="AU108" i="20"/>
  <c r="AV108" i="20"/>
  <c r="AW108" i="20"/>
  <c r="BA108" i="20"/>
  <c r="AZ108" i="20"/>
  <c r="BB108" i="20"/>
  <c r="BE108" i="20"/>
  <c r="AX108" i="20"/>
  <c r="AY108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AT109" i="20"/>
  <c r="AU109" i="20"/>
  <c r="AV109" i="20"/>
  <c r="AW109" i="20"/>
  <c r="BA109" i="20"/>
  <c r="AZ109" i="20"/>
  <c r="BB109" i="20"/>
  <c r="BE109" i="20"/>
  <c r="AX109" i="20"/>
  <c r="AY109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AT110" i="20"/>
  <c r="AU110" i="20"/>
  <c r="AV110" i="20"/>
  <c r="AW110" i="20"/>
  <c r="BA110" i="20"/>
  <c r="AZ110" i="20"/>
  <c r="BB110" i="20"/>
  <c r="BE110" i="20"/>
  <c r="AX110" i="20"/>
  <c r="AY110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BA111" i="20"/>
  <c r="AZ111" i="20"/>
  <c r="BB111" i="20"/>
  <c r="BE111" i="20"/>
  <c r="AX111" i="20"/>
  <c r="AY111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AT112" i="20"/>
  <c r="AU112" i="20"/>
  <c r="AV112" i="20"/>
  <c r="AW112" i="20"/>
  <c r="BA112" i="20"/>
  <c r="AZ112" i="20"/>
  <c r="BB112" i="20"/>
  <c r="BE112" i="20"/>
  <c r="AX112" i="20"/>
  <c r="AY112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AT113" i="20"/>
  <c r="AU113" i="20"/>
  <c r="AV113" i="20"/>
  <c r="AW113" i="20"/>
  <c r="BA113" i="20"/>
  <c r="AZ113" i="20"/>
  <c r="BB113" i="20"/>
  <c r="BE113" i="20"/>
  <c r="AX113" i="20"/>
  <c r="AY113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AT114" i="20"/>
  <c r="AU114" i="20"/>
  <c r="AV114" i="20"/>
  <c r="AW114" i="20"/>
  <c r="BA114" i="20"/>
  <c r="AZ114" i="20"/>
  <c r="BB114" i="20"/>
  <c r="BE114" i="20"/>
  <c r="AX114" i="20"/>
  <c r="AY114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AT115" i="20"/>
  <c r="AU115" i="20"/>
  <c r="AV115" i="20"/>
  <c r="AW115" i="20"/>
  <c r="BA115" i="20"/>
  <c r="AZ115" i="20"/>
  <c r="BB115" i="20"/>
  <c r="BE115" i="20"/>
  <c r="AX115" i="20"/>
  <c r="AY115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AT116" i="20"/>
  <c r="AU116" i="20"/>
  <c r="AV116" i="20"/>
  <c r="AW116" i="20"/>
  <c r="BA116" i="20"/>
  <c r="AZ116" i="20"/>
  <c r="BB116" i="20"/>
  <c r="BE116" i="20"/>
  <c r="AX116" i="20"/>
  <c r="AY116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AT117" i="20"/>
  <c r="AU117" i="20"/>
  <c r="AV117" i="20"/>
  <c r="AW117" i="20"/>
  <c r="BA117" i="20"/>
  <c r="AZ117" i="20"/>
  <c r="BB117" i="20"/>
  <c r="BE117" i="20"/>
  <c r="AX117" i="20"/>
  <c r="AY117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BA118" i="20"/>
  <c r="AZ118" i="20"/>
  <c r="BB118" i="20"/>
  <c r="BE118" i="20"/>
  <c r="AX118" i="20"/>
  <c r="AY118" i="20"/>
  <c r="C98" i="20"/>
  <c r="D98" i="20"/>
  <c r="E98" i="20"/>
  <c r="F98" i="20"/>
  <c r="G98" i="20"/>
  <c r="H98" i="20"/>
  <c r="I98" i="20"/>
  <c r="J98" i="20"/>
  <c r="K98" i="20"/>
  <c r="L98" i="20"/>
  <c r="M98" i="20"/>
  <c r="N98" i="20"/>
  <c r="O98" i="20"/>
  <c r="P98" i="20"/>
  <c r="Q98" i="20"/>
  <c r="R98" i="20"/>
  <c r="S98" i="20"/>
  <c r="T98" i="20"/>
  <c r="U98" i="20"/>
  <c r="V98" i="20"/>
  <c r="W98" i="20"/>
  <c r="X98" i="20"/>
  <c r="Y98" i="20"/>
  <c r="Z98" i="20"/>
  <c r="AA98" i="20"/>
  <c r="AB98" i="20"/>
  <c r="AC98" i="20"/>
  <c r="AD98" i="20"/>
  <c r="AE98" i="20"/>
  <c r="AF98" i="20"/>
  <c r="AG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AT98" i="20"/>
  <c r="AU98" i="20"/>
  <c r="AV98" i="20"/>
  <c r="AW98" i="20"/>
  <c r="BA98" i="20"/>
  <c r="AZ98" i="20"/>
  <c r="BB98" i="20"/>
  <c r="BC98" i="20"/>
  <c r="BD98" i="20"/>
  <c r="BE98" i="20"/>
  <c r="AX98" i="20"/>
  <c r="AY98" i="20"/>
  <c r="B98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U51" i="20"/>
  <c r="AV51" i="20"/>
  <c r="AW51" i="20"/>
  <c r="BA51" i="20"/>
  <c r="AZ51" i="20"/>
  <c r="BB51" i="20"/>
  <c r="BC51" i="20"/>
  <c r="BD51" i="20"/>
  <c r="BE51" i="20"/>
  <c r="AX51" i="20"/>
  <c r="AY51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U52" i="20"/>
  <c r="AV52" i="20"/>
  <c r="AW52" i="20"/>
  <c r="BA52" i="20"/>
  <c r="AZ52" i="20"/>
  <c r="BB52" i="20"/>
  <c r="BC52" i="20"/>
  <c r="BD52" i="20"/>
  <c r="BE52" i="20"/>
  <c r="AX52" i="20"/>
  <c r="AY52" i="20"/>
  <c r="AH53" i="20"/>
  <c r="AI53" i="20"/>
  <c r="AJ53" i="20"/>
  <c r="AK53" i="20"/>
  <c r="AL53" i="20"/>
  <c r="AM53" i="20"/>
  <c r="AN53" i="20"/>
  <c r="AO53" i="20"/>
  <c r="AP53" i="20"/>
  <c r="AQ53" i="20"/>
  <c r="AR53" i="20"/>
  <c r="AS53" i="20"/>
  <c r="AT53" i="20"/>
  <c r="AU53" i="20"/>
  <c r="AV53" i="20"/>
  <c r="AW53" i="20"/>
  <c r="BA53" i="20"/>
  <c r="AZ53" i="20"/>
  <c r="BB53" i="20"/>
  <c r="BC53" i="20"/>
  <c r="BD53" i="20"/>
  <c r="BE53" i="20"/>
  <c r="AX53" i="20"/>
  <c r="AY53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AT54" i="20"/>
  <c r="AU54" i="20"/>
  <c r="AV54" i="20"/>
  <c r="AW54" i="20"/>
  <c r="BA54" i="20"/>
  <c r="AZ54" i="20"/>
  <c r="BB54" i="20"/>
  <c r="BC54" i="20"/>
  <c r="BD54" i="20"/>
  <c r="BE54" i="20"/>
  <c r="AX54" i="20"/>
  <c r="AY54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AT55" i="20"/>
  <c r="AU55" i="20"/>
  <c r="AV55" i="20"/>
  <c r="AW55" i="20"/>
  <c r="BA55" i="20"/>
  <c r="AZ55" i="20"/>
  <c r="BB55" i="20"/>
  <c r="BC55" i="20"/>
  <c r="BD55" i="20"/>
  <c r="BE55" i="20"/>
  <c r="AX55" i="20"/>
  <c r="AY55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AT56" i="20"/>
  <c r="AU56" i="20"/>
  <c r="AV56" i="20"/>
  <c r="AW56" i="20"/>
  <c r="BA56" i="20"/>
  <c r="AZ56" i="20"/>
  <c r="BB56" i="20"/>
  <c r="BC56" i="20"/>
  <c r="BD56" i="20"/>
  <c r="BE56" i="20"/>
  <c r="AX56" i="20"/>
  <c r="AY56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T57" i="20"/>
  <c r="AU57" i="20"/>
  <c r="AV57" i="20"/>
  <c r="AW57" i="20"/>
  <c r="BA57" i="20"/>
  <c r="AZ57" i="20"/>
  <c r="BB57" i="20"/>
  <c r="BC57" i="20"/>
  <c r="BD57" i="20"/>
  <c r="BE57" i="20"/>
  <c r="AX57" i="20"/>
  <c r="AY57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AU58" i="20"/>
  <c r="AV58" i="20"/>
  <c r="AW58" i="20"/>
  <c r="BA58" i="20"/>
  <c r="AZ58" i="20"/>
  <c r="BB58" i="20"/>
  <c r="BC58" i="20"/>
  <c r="BD58" i="20"/>
  <c r="BE58" i="20"/>
  <c r="AX58" i="20"/>
  <c r="AY58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AU59" i="20"/>
  <c r="AV59" i="20"/>
  <c r="AW59" i="20"/>
  <c r="BA59" i="20"/>
  <c r="AZ59" i="20"/>
  <c r="BB59" i="20"/>
  <c r="BC59" i="20"/>
  <c r="BD59" i="20"/>
  <c r="BE59" i="20"/>
  <c r="AX59" i="20"/>
  <c r="AY59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AU60" i="20"/>
  <c r="AV60" i="20"/>
  <c r="AW60" i="20"/>
  <c r="BA60" i="20"/>
  <c r="AZ60" i="20"/>
  <c r="BB60" i="20"/>
  <c r="BC60" i="20"/>
  <c r="BD60" i="20"/>
  <c r="BE60" i="20"/>
  <c r="AX60" i="20"/>
  <c r="AY60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AU61" i="20"/>
  <c r="AV61" i="20"/>
  <c r="AW61" i="20"/>
  <c r="BA61" i="20"/>
  <c r="AZ61" i="20"/>
  <c r="BB61" i="20"/>
  <c r="BC61" i="20"/>
  <c r="BD61" i="20"/>
  <c r="BE61" i="20"/>
  <c r="AX61" i="20"/>
  <c r="AY61" i="20"/>
  <c r="AH62" i="20"/>
  <c r="AI62" i="20"/>
  <c r="AJ62" i="20"/>
  <c r="AK62" i="20"/>
  <c r="AL62" i="20"/>
  <c r="AM62" i="20"/>
  <c r="AN62" i="20"/>
  <c r="AO62" i="20"/>
  <c r="AP62" i="20"/>
  <c r="AQ62" i="20"/>
  <c r="AR62" i="20"/>
  <c r="AS62" i="20"/>
  <c r="AT62" i="20"/>
  <c r="AU62" i="20"/>
  <c r="AV62" i="20"/>
  <c r="AW62" i="20"/>
  <c r="BA62" i="20"/>
  <c r="AZ62" i="20"/>
  <c r="BB62" i="20"/>
  <c r="BC62" i="20"/>
  <c r="BD62" i="20"/>
  <c r="BE62" i="20"/>
  <c r="AX62" i="20"/>
  <c r="AY62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AU63" i="20"/>
  <c r="AV63" i="20"/>
  <c r="AW63" i="20"/>
  <c r="BA63" i="20"/>
  <c r="AZ63" i="20"/>
  <c r="BB63" i="20"/>
  <c r="BC63" i="20"/>
  <c r="BD63" i="20"/>
  <c r="BE63" i="20"/>
  <c r="AX63" i="20"/>
  <c r="AY63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AU64" i="20"/>
  <c r="AV64" i="20"/>
  <c r="AW64" i="20"/>
  <c r="BA64" i="20"/>
  <c r="AZ64" i="20"/>
  <c r="BB64" i="20"/>
  <c r="BC64" i="20"/>
  <c r="BD64" i="20"/>
  <c r="BE64" i="20"/>
  <c r="AX64" i="20"/>
  <c r="AY64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AU65" i="20"/>
  <c r="AV65" i="20"/>
  <c r="AW65" i="20"/>
  <c r="BA65" i="20"/>
  <c r="AZ65" i="20"/>
  <c r="BB65" i="20"/>
  <c r="BC65" i="20"/>
  <c r="BD65" i="20"/>
  <c r="BE65" i="20"/>
  <c r="AX65" i="20"/>
  <c r="AY65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AU66" i="20"/>
  <c r="AV66" i="20"/>
  <c r="AW66" i="20"/>
  <c r="BA66" i="20"/>
  <c r="AZ66" i="20"/>
  <c r="BB66" i="20"/>
  <c r="BC66" i="20"/>
  <c r="BD66" i="20"/>
  <c r="BE66" i="20"/>
  <c r="AX66" i="20"/>
  <c r="AY66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AU67" i="20"/>
  <c r="AV67" i="20"/>
  <c r="AW67" i="20"/>
  <c r="BA67" i="20"/>
  <c r="AZ67" i="20"/>
  <c r="BB67" i="20"/>
  <c r="BC67" i="20"/>
  <c r="BD67" i="20"/>
  <c r="BE67" i="20"/>
  <c r="AX67" i="20"/>
  <c r="AY67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AU68" i="20"/>
  <c r="AV68" i="20"/>
  <c r="AW68" i="20"/>
  <c r="BA68" i="20"/>
  <c r="AZ68" i="20"/>
  <c r="BB68" i="20"/>
  <c r="BC68" i="20"/>
  <c r="BD68" i="20"/>
  <c r="BE68" i="20"/>
  <c r="AX68" i="20"/>
  <c r="AY68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AU69" i="20"/>
  <c r="AV69" i="20"/>
  <c r="AW69" i="20"/>
  <c r="BA69" i="20"/>
  <c r="AZ69" i="20"/>
  <c r="BB69" i="20"/>
  <c r="BC69" i="20"/>
  <c r="BD69" i="20"/>
  <c r="BE69" i="20"/>
  <c r="AX69" i="20"/>
  <c r="AY69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AU70" i="20"/>
  <c r="AV70" i="20"/>
  <c r="AW70" i="20"/>
  <c r="BA70" i="20"/>
  <c r="AZ70" i="20"/>
  <c r="BB70" i="20"/>
  <c r="BC70" i="20"/>
  <c r="BD70" i="20"/>
  <c r="BE70" i="20"/>
  <c r="AX70" i="20"/>
  <c r="AY70" i="20"/>
  <c r="C50" i="20"/>
  <c r="D50" i="20"/>
  <c r="E50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U50" i="20"/>
  <c r="AV50" i="20"/>
  <c r="AW50" i="20"/>
  <c r="BA50" i="20"/>
  <c r="AZ50" i="20"/>
  <c r="BB50" i="20"/>
  <c r="BC50" i="20"/>
  <c r="BD50" i="20"/>
  <c r="BE50" i="20"/>
  <c r="AX50" i="20"/>
  <c r="AY50" i="20"/>
  <c r="B50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26" i="20"/>
  <c r="DM22" i="20"/>
  <c r="DE22" i="20"/>
  <c r="DB22" i="20"/>
  <c r="CV22" i="20"/>
  <c r="CL22" i="20"/>
  <c r="CJ22" i="20"/>
  <c r="CI22" i="20"/>
  <c r="CG22" i="20"/>
  <c r="CF22" i="20"/>
  <c r="BL22" i="20"/>
  <c r="BK22" i="20"/>
  <c r="BJ22" i="20"/>
  <c r="BI22" i="20"/>
  <c r="BH22" i="20"/>
  <c r="DM21" i="20"/>
  <c r="DE21" i="20"/>
  <c r="DB21" i="20"/>
  <c r="CV21" i="20"/>
  <c r="CL21" i="20"/>
  <c r="CJ21" i="20"/>
  <c r="CI21" i="20"/>
  <c r="CG21" i="20"/>
  <c r="CF21" i="20"/>
  <c r="BL21" i="20"/>
  <c r="BK21" i="20"/>
  <c r="BJ21" i="20"/>
  <c r="BI21" i="20"/>
  <c r="BH21" i="20"/>
  <c r="DM20" i="20"/>
  <c r="DE20" i="20"/>
  <c r="DB20" i="20"/>
  <c r="CV20" i="20"/>
  <c r="CL20" i="20"/>
  <c r="CJ20" i="20"/>
  <c r="CI20" i="20"/>
  <c r="CG20" i="20"/>
  <c r="CF20" i="20"/>
  <c r="BL20" i="20"/>
  <c r="BK20" i="20"/>
  <c r="BJ20" i="20"/>
  <c r="BI20" i="20"/>
  <c r="BH20" i="20"/>
  <c r="DM19" i="20"/>
  <c r="DE19" i="20"/>
  <c r="DB19" i="20"/>
  <c r="CV19" i="20"/>
  <c r="CL19" i="20"/>
  <c r="CJ19" i="20"/>
  <c r="CI19" i="20"/>
  <c r="CG19" i="20"/>
  <c r="CF19" i="20"/>
  <c r="BL19" i="20"/>
  <c r="BK19" i="20"/>
  <c r="BJ19" i="20"/>
  <c r="BI19" i="20"/>
  <c r="BH19" i="20"/>
  <c r="DM18" i="20"/>
  <c r="G21" i="32"/>
  <c r="DE18" i="20"/>
  <c r="DB18" i="20"/>
  <c r="CV18" i="20"/>
  <c r="N48" i="32"/>
  <c r="CL18" i="20"/>
  <c r="CJ18" i="20"/>
  <c r="CI18" i="20"/>
  <c r="CG18" i="20"/>
  <c r="CF18" i="20"/>
  <c r="H194" i="32"/>
  <c r="G194" i="32"/>
  <c r="F194" i="32"/>
  <c r="E194" i="32"/>
  <c r="D194" i="32"/>
  <c r="DM17" i="20"/>
  <c r="G20" i="32"/>
  <c r="DE17" i="20"/>
  <c r="DB17" i="20"/>
  <c r="CV17" i="20"/>
  <c r="N47" i="32"/>
  <c r="CL17" i="20"/>
  <c r="CJ17" i="20"/>
  <c r="CI17" i="20"/>
  <c r="CG17" i="20"/>
  <c r="CF17" i="20"/>
  <c r="H193" i="32"/>
  <c r="G193" i="32"/>
  <c r="F193" i="32"/>
  <c r="E193" i="32"/>
  <c r="D193" i="32"/>
  <c r="DM16" i="20"/>
  <c r="G19" i="32"/>
  <c r="DE16" i="20"/>
  <c r="DB16" i="20"/>
  <c r="CV16" i="20"/>
  <c r="N46" i="32"/>
  <c r="CL16" i="20"/>
  <c r="CJ16" i="20"/>
  <c r="CI16" i="20"/>
  <c r="CG16" i="20"/>
  <c r="CF16" i="20"/>
  <c r="H192" i="32"/>
  <c r="G192" i="32"/>
  <c r="F192" i="32"/>
  <c r="E192" i="32"/>
  <c r="D192" i="32"/>
  <c r="DM15" i="20"/>
  <c r="G18" i="32"/>
  <c r="DE15" i="20"/>
  <c r="DB15" i="20"/>
  <c r="CV15" i="20"/>
  <c r="N45" i="32"/>
  <c r="CL15" i="20"/>
  <c r="CJ15" i="20"/>
  <c r="CI15" i="20"/>
  <c r="CG15" i="20"/>
  <c r="CF15" i="20"/>
  <c r="H191" i="32"/>
  <c r="G191" i="32"/>
  <c r="F191" i="32"/>
  <c r="E191" i="32"/>
  <c r="D191" i="32"/>
  <c r="DM14" i="20"/>
  <c r="G17" i="32"/>
  <c r="DE14" i="20"/>
  <c r="DB14" i="20"/>
  <c r="CV14" i="20"/>
  <c r="N44" i="32"/>
  <c r="CL14" i="20"/>
  <c r="CJ14" i="20"/>
  <c r="CI14" i="20"/>
  <c r="CG14" i="20"/>
  <c r="CF14" i="20"/>
  <c r="H190" i="32"/>
  <c r="G190" i="32"/>
  <c r="F190" i="32"/>
  <c r="E190" i="32"/>
  <c r="D190" i="32"/>
  <c r="DM13" i="20"/>
  <c r="G16" i="32"/>
  <c r="DE13" i="20"/>
  <c r="DB13" i="20"/>
  <c r="CV13" i="20"/>
  <c r="N43" i="32"/>
  <c r="CL13" i="20"/>
  <c r="CJ13" i="20"/>
  <c r="CI13" i="20"/>
  <c r="CG13" i="20"/>
  <c r="CF13" i="20"/>
  <c r="H189" i="32"/>
  <c r="G189" i="32"/>
  <c r="F189" i="32"/>
  <c r="E189" i="32"/>
  <c r="D189" i="32"/>
  <c r="DM12" i="20"/>
  <c r="G15" i="32"/>
  <c r="DE12" i="20"/>
  <c r="DB12" i="20"/>
  <c r="CV12" i="20"/>
  <c r="N42" i="32"/>
  <c r="CL12" i="20"/>
  <c r="CJ12" i="20"/>
  <c r="CI12" i="20"/>
  <c r="CG12" i="20"/>
  <c r="CF12" i="20"/>
  <c r="H188" i="32"/>
  <c r="G188" i="32"/>
  <c r="F188" i="32"/>
  <c r="E188" i="32"/>
  <c r="D188" i="32"/>
  <c r="DM11" i="20"/>
  <c r="G14" i="32"/>
  <c r="DE11" i="20"/>
  <c r="DB11" i="20"/>
  <c r="CV11" i="20"/>
  <c r="N41" i="32"/>
  <c r="CL11" i="20"/>
  <c r="CJ11" i="20"/>
  <c r="CI11" i="20"/>
  <c r="CG11" i="20"/>
  <c r="CF11" i="20"/>
  <c r="H187" i="32"/>
  <c r="G187" i="32"/>
  <c r="F187" i="32"/>
  <c r="E187" i="32"/>
  <c r="D187" i="32"/>
  <c r="DM10" i="20"/>
  <c r="G13" i="32"/>
  <c r="DE10" i="20"/>
  <c r="DB10" i="20"/>
  <c r="CL10" i="20"/>
  <c r="CJ10" i="20"/>
  <c r="CI10" i="20"/>
  <c r="CG10" i="20"/>
  <c r="CF10" i="20"/>
  <c r="H186" i="32"/>
  <c r="G186" i="32"/>
  <c r="F186" i="32"/>
  <c r="E186" i="32"/>
  <c r="D186" i="32"/>
  <c r="DM9" i="20"/>
  <c r="G12" i="32"/>
  <c r="DE9" i="20"/>
  <c r="DB9" i="20"/>
  <c r="CL9" i="20"/>
  <c r="CJ9" i="20"/>
  <c r="CI9" i="20"/>
  <c r="CG9" i="20"/>
  <c r="CF9" i="20"/>
  <c r="H185" i="32"/>
  <c r="G185" i="32"/>
  <c r="F185" i="32"/>
  <c r="E185" i="32"/>
  <c r="D185" i="32"/>
  <c r="DM8" i="20"/>
  <c r="G11" i="32"/>
  <c r="DE8" i="20"/>
  <c r="DB8" i="20"/>
  <c r="CL8" i="20"/>
  <c r="CJ8" i="20"/>
  <c r="CI8" i="20"/>
  <c r="CG8" i="20"/>
  <c r="CF8" i="20"/>
  <c r="H184" i="32"/>
  <c r="G184" i="32"/>
  <c r="F184" i="32"/>
  <c r="E184" i="32"/>
  <c r="D184" i="32"/>
  <c r="DM7" i="20"/>
  <c r="G10" i="32"/>
  <c r="DE7" i="20"/>
  <c r="DB7" i="20"/>
  <c r="CL7" i="20"/>
  <c r="CJ7" i="20"/>
  <c r="CI7" i="20"/>
  <c r="CG7" i="20"/>
  <c r="CF7" i="20"/>
  <c r="H183" i="32"/>
  <c r="G183" i="32"/>
  <c r="F183" i="32"/>
  <c r="E183" i="32"/>
  <c r="D183" i="32"/>
  <c r="DM6" i="20"/>
  <c r="G9" i="32"/>
  <c r="DE6" i="20"/>
  <c r="DB6" i="20"/>
  <c r="CL6" i="20"/>
  <c r="CJ6" i="20"/>
  <c r="CI6" i="20"/>
  <c r="CG6" i="20"/>
  <c r="CF6" i="20"/>
  <c r="H182" i="32"/>
  <c r="G182" i="32"/>
  <c r="F182" i="32"/>
  <c r="E182" i="32"/>
  <c r="D182" i="32"/>
  <c r="DM5" i="20"/>
  <c r="G8" i="32"/>
  <c r="DE5" i="20"/>
  <c r="DB5" i="20"/>
  <c r="CL5" i="20"/>
  <c r="CJ5" i="20"/>
  <c r="CI5" i="20"/>
  <c r="CG5" i="20"/>
  <c r="CF5" i="20"/>
  <c r="H181" i="32"/>
  <c r="G181" i="32"/>
  <c r="F181" i="32"/>
  <c r="E181" i="32"/>
  <c r="D181" i="32"/>
  <c r="DM4" i="20"/>
  <c r="G7" i="32"/>
  <c r="CL4" i="20"/>
  <c r="CJ4" i="20"/>
  <c r="CI4" i="20"/>
  <c r="CG4" i="20"/>
  <c r="CF4" i="20"/>
  <c r="H180" i="32"/>
  <c r="G180" i="32"/>
  <c r="F180" i="32"/>
  <c r="E180" i="32"/>
  <c r="D180" i="32"/>
  <c r="DM3" i="20"/>
  <c r="G6" i="32"/>
  <c r="CM3" i="20"/>
  <c r="CL3" i="20"/>
  <c r="CJ3" i="20"/>
  <c r="CI3" i="20"/>
  <c r="CG3" i="20"/>
  <c r="CF3" i="20"/>
  <c r="H179" i="32"/>
  <c r="G179" i="32"/>
  <c r="F179" i="32"/>
  <c r="E179" i="32"/>
  <c r="D179" i="32"/>
  <c r="A61" i="20"/>
  <c r="A84" i="20"/>
  <c r="A109" i="20"/>
  <c r="A132" i="20"/>
  <c r="A62" i="20"/>
  <c r="A85" i="20"/>
  <c r="A110" i="20"/>
  <c r="A133" i="20"/>
  <c r="A63" i="20"/>
  <c r="A86" i="20"/>
  <c r="A111" i="20"/>
  <c r="A134" i="20"/>
  <c r="A64" i="20"/>
  <c r="A87" i="20"/>
  <c r="A112" i="20"/>
  <c r="A135" i="20"/>
  <c r="A65" i="20"/>
  <c r="A88" i="20"/>
  <c r="A113" i="20"/>
  <c r="A136" i="20"/>
  <c r="A66" i="20"/>
  <c r="A89" i="20"/>
  <c r="A114" i="20"/>
  <c r="A137" i="20"/>
  <c r="A67" i="20"/>
  <c r="A90" i="20" s="1"/>
  <c r="A115" i="20" s="1"/>
  <c r="A138" i="20" s="1"/>
  <c r="A68" i="20"/>
  <c r="A91" i="20" s="1"/>
  <c r="A116" i="20" s="1"/>
  <c r="A139" i="20" s="1"/>
  <c r="A69" i="20"/>
  <c r="A92" i="20"/>
  <c r="A117" i="20"/>
  <c r="A140" i="20"/>
  <c r="A70" i="20"/>
  <c r="A93" i="20"/>
  <c r="A118" i="20"/>
  <c r="A141" i="20"/>
  <c r="H109" i="20"/>
  <c r="M109" i="20"/>
  <c r="Q109" i="20"/>
  <c r="S109" i="20"/>
  <c r="T109" i="20"/>
  <c r="W109" i="20"/>
  <c r="Z109" i="20"/>
  <c r="AA109" i="20"/>
  <c r="AB109" i="20"/>
  <c r="AC109" i="20"/>
  <c r="AE109" i="20"/>
  <c r="AF109" i="20"/>
  <c r="AG109" i="20"/>
  <c r="H110" i="20"/>
  <c r="M110" i="20"/>
  <c r="Q110" i="20"/>
  <c r="S110" i="20"/>
  <c r="T110" i="20"/>
  <c r="W110" i="20"/>
  <c r="Z110" i="20"/>
  <c r="AA110" i="20"/>
  <c r="AB110" i="20"/>
  <c r="AC110" i="20"/>
  <c r="AE110" i="20"/>
  <c r="AF110" i="20"/>
  <c r="AG110" i="20"/>
  <c r="H111" i="20"/>
  <c r="M111" i="20"/>
  <c r="Q111" i="20"/>
  <c r="S111" i="20"/>
  <c r="T111" i="20"/>
  <c r="W111" i="20"/>
  <c r="Z111" i="20"/>
  <c r="AA111" i="20"/>
  <c r="AB111" i="20"/>
  <c r="AC111" i="20"/>
  <c r="AE111" i="20"/>
  <c r="AF111" i="20"/>
  <c r="AG111" i="20"/>
  <c r="H112" i="20"/>
  <c r="M112" i="20"/>
  <c r="Q112" i="20"/>
  <c r="S112" i="20"/>
  <c r="T112" i="20"/>
  <c r="W112" i="20"/>
  <c r="Z112" i="20"/>
  <c r="AA112" i="20"/>
  <c r="AB112" i="20"/>
  <c r="AC112" i="20"/>
  <c r="AE112" i="20"/>
  <c r="AF112" i="20"/>
  <c r="AG112" i="20"/>
  <c r="H113" i="20"/>
  <c r="M113" i="20"/>
  <c r="Q113" i="20"/>
  <c r="S113" i="20"/>
  <c r="T113" i="20"/>
  <c r="W113" i="20"/>
  <c r="Z113" i="20"/>
  <c r="AA113" i="20"/>
  <c r="AB113" i="20"/>
  <c r="AC113" i="20"/>
  <c r="AE113" i="20"/>
  <c r="AF113" i="20"/>
  <c r="AG113" i="20"/>
  <c r="H114" i="20"/>
  <c r="M114" i="20"/>
  <c r="Q114" i="20"/>
  <c r="S114" i="20"/>
  <c r="T114" i="20"/>
  <c r="W114" i="20"/>
  <c r="Z114" i="20"/>
  <c r="AA114" i="20"/>
  <c r="AB114" i="20"/>
  <c r="AC114" i="20"/>
  <c r="AE114" i="20"/>
  <c r="AF114" i="20"/>
  <c r="AG114" i="20"/>
  <c r="H115" i="20"/>
  <c r="M115" i="20"/>
  <c r="Q115" i="20"/>
  <c r="S115" i="20"/>
  <c r="T115" i="20"/>
  <c r="W115" i="20"/>
  <c r="Z115" i="20"/>
  <c r="AA115" i="20"/>
  <c r="AB115" i="20"/>
  <c r="AC115" i="20"/>
  <c r="AE115" i="20"/>
  <c r="AF115" i="20"/>
  <c r="AG115" i="20"/>
  <c r="H116" i="20"/>
  <c r="M116" i="20"/>
  <c r="Q116" i="20"/>
  <c r="S116" i="20"/>
  <c r="T116" i="20"/>
  <c r="W116" i="20"/>
  <c r="Z116" i="20"/>
  <c r="AA116" i="20"/>
  <c r="AB116" i="20"/>
  <c r="AC116" i="20"/>
  <c r="AE116" i="20"/>
  <c r="AF116" i="20"/>
  <c r="AG116" i="20"/>
  <c r="H117" i="20"/>
  <c r="M117" i="20"/>
  <c r="Q117" i="20"/>
  <c r="S117" i="20"/>
  <c r="T117" i="20"/>
  <c r="W117" i="20"/>
  <c r="Z117" i="20"/>
  <c r="AA117" i="20"/>
  <c r="AB117" i="20"/>
  <c r="AC117" i="20"/>
  <c r="AE117" i="20"/>
  <c r="AF117" i="20"/>
  <c r="AG117" i="20"/>
  <c r="H118" i="20"/>
  <c r="M118" i="20"/>
  <c r="Q118" i="20"/>
  <c r="S118" i="20"/>
  <c r="T118" i="20"/>
  <c r="W118" i="20"/>
  <c r="Z118" i="20"/>
  <c r="AA118" i="20"/>
  <c r="AB118" i="20"/>
  <c r="AC118" i="20"/>
  <c r="AE118" i="20"/>
  <c r="AF118" i="20"/>
  <c r="AG118" i="20"/>
  <c r="D66" i="20"/>
  <c r="B89" i="20"/>
  <c r="C66" i="20"/>
  <c r="E66" i="20"/>
  <c r="E89" i="20"/>
  <c r="F66" i="20"/>
  <c r="G66" i="20"/>
  <c r="K66" i="20"/>
  <c r="O66" i="20"/>
  <c r="I89" i="20"/>
  <c r="L66" i="20"/>
  <c r="J89" i="20"/>
  <c r="AD66" i="20"/>
  <c r="I66" i="20"/>
  <c r="U66" i="20"/>
  <c r="X66" i="20"/>
  <c r="O89" i="20"/>
  <c r="R66" i="20"/>
  <c r="P89" i="20"/>
  <c r="Q89" i="20"/>
  <c r="V66" i="20"/>
  <c r="B66" i="20"/>
  <c r="D67" i="20"/>
  <c r="B90" i="20"/>
  <c r="T90" i="20"/>
  <c r="C67" i="20"/>
  <c r="E67" i="20"/>
  <c r="E90" i="20"/>
  <c r="F67" i="20"/>
  <c r="G67" i="20"/>
  <c r="K67" i="20"/>
  <c r="O67" i="20"/>
  <c r="I90" i="20"/>
  <c r="L67" i="20"/>
  <c r="J90" i="20"/>
  <c r="AD67" i="20"/>
  <c r="I67" i="20"/>
  <c r="U67" i="20"/>
  <c r="X67" i="20"/>
  <c r="O90" i="20"/>
  <c r="R67" i="20"/>
  <c r="P90" i="20"/>
  <c r="Q90" i="20"/>
  <c r="V67" i="20"/>
  <c r="R90" i="20"/>
  <c r="B67" i="20"/>
  <c r="S90" i="20"/>
  <c r="D68" i="20"/>
  <c r="C68" i="20"/>
  <c r="C91" i="20" s="1"/>
  <c r="E68" i="20"/>
  <c r="E91" i="20"/>
  <c r="F68" i="20"/>
  <c r="G68" i="20"/>
  <c r="K68" i="20"/>
  <c r="O68" i="20"/>
  <c r="L68" i="20"/>
  <c r="J91" i="20"/>
  <c r="AD68" i="20"/>
  <c r="I68" i="20"/>
  <c r="M91" i="20" s="1"/>
  <c r="U68" i="20"/>
  <c r="X68" i="20"/>
  <c r="O91" i="20" s="1"/>
  <c r="R68" i="20"/>
  <c r="P91" i="20" s="1"/>
  <c r="R91" i="20" s="1"/>
  <c r="Q91" i="20"/>
  <c r="V68" i="20"/>
  <c r="B68" i="20"/>
  <c r="S91" i="20" s="1"/>
  <c r="D69" i="20"/>
  <c r="B92" i="20"/>
  <c r="C69" i="20"/>
  <c r="E69" i="20"/>
  <c r="E92" i="20"/>
  <c r="F69" i="20"/>
  <c r="G69" i="20"/>
  <c r="K69" i="20"/>
  <c r="O69" i="20"/>
  <c r="I92" i="20"/>
  <c r="L69" i="20"/>
  <c r="J92" i="20"/>
  <c r="AD69" i="20"/>
  <c r="M92" i="20"/>
  <c r="I69" i="20"/>
  <c r="U69" i="20"/>
  <c r="X69" i="20"/>
  <c r="O92" i="20"/>
  <c r="R69" i="20"/>
  <c r="P92" i="20"/>
  <c r="Q92" i="20"/>
  <c r="V69" i="20"/>
  <c r="B69" i="20"/>
  <c r="S92" i="20"/>
  <c r="D70" i="20"/>
  <c r="B93" i="20"/>
  <c r="C70" i="20"/>
  <c r="E70" i="20"/>
  <c r="E93" i="20"/>
  <c r="F93" i="20"/>
  <c r="F70" i="20"/>
  <c r="G70" i="20"/>
  <c r="G93" i="20"/>
  <c r="K70" i="20"/>
  <c r="H93" i="20"/>
  <c r="O70" i="20"/>
  <c r="I93" i="20"/>
  <c r="L70" i="20"/>
  <c r="J93" i="20"/>
  <c r="AD70" i="20"/>
  <c r="I70" i="20"/>
  <c r="U70" i="20"/>
  <c r="X70" i="20"/>
  <c r="O93" i="20"/>
  <c r="R70" i="20"/>
  <c r="P93" i="20"/>
  <c r="Q93" i="20"/>
  <c r="V70" i="20"/>
  <c r="B70" i="20"/>
  <c r="D61" i="20"/>
  <c r="C61" i="20"/>
  <c r="E61" i="20"/>
  <c r="E84" i="20"/>
  <c r="F61" i="20"/>
  <c r="G61" i="20"/>
  <c r="K61" i="20"/>
  <c r="O61" i="20"/>
  <c r="L61" i="20"/>
  <c r="J84" i="20"/>
  <c r="AD61" i="20"/>
  <c r="I61" i="20"/>
  <c r="U61" i="20"/>
  <c r="X61" i="20"/>
  <c r="O84" i="20"/>
  <c r="R61" i="20"/>
  <c r="P84" i="20"/>
  <c r="Q84" i="20"/>
  <c r="V61" i="20"/>
  <c r="B61" i="20"/>
  <c r="D62" i="20"/>
  <c r="B85" i="20"/>
  <c r="C62" i="20"/>
  <c r="E62" i="20"/>
  <c r="E85" i="20"/>
  <c r="F62" i="20"/>
  <c r="G62" i="20"/>
  <c r="K62" i="20"/>
  <c r="O62" i="20"/>
  <c r="H85" i="20"/>
  <c r="L62" i="20"/>
  <c r="J85" i="20"/>
  <c r="AD62" i="20"/>
  <c r="M85" i="20"/>
  <c r="I62" i="20"/>
  <c r="U62" i="20"/>
  <c r="X62" i="20"/>
  <c r="O85" i="20"/>
  <c r="R62" i="20"/>
  <c r="P85" i="20"/>
  <c r="Q85" i="20"/>
  <c r="V62" i="20"/>
  <c r="B62" i="20"/>
  <c r="D63" i="20"/>
  <c r="B86" i="20"/>
  <c r="C63" i="20"/>
  <c r="E63" i="20"/>
  <c r="E86" i="20"/>
  <c r="F63" i="20"/>
  <c r="G63" i="20"/>
  <c r="K63" i="20"/>
  <c r="O63" i="20"/>
  <c r="I86" i="20"/>
  <c r="L63" i="20"/>
  <c r="J86" i="20"/>
  <c r="AD63" i="20"/>
  <c r="I63" i="20"/>
  <c r="U63" i="20"/>
  <c r="X63" i="20"/>
  <c r="O86" i="20"/>
  <c r="R63" i="20"/>
  <c r="P86" i="20"/>
  <c r="Q86" i="20"/>
  <c r="V63" i="20"/>
  <c r="B63" i="20"/>
  <c r="D64" i="20"/>
  <c r="B87" i="20"/>
  <c r="C64" i="20"/>
  <c r="E64" i="20"/>
  <c r="E87" i="20"/>
  <c r="F64" i="20"/>
  <c r="G64" i="20"/>
  <c r="K64" i="20"/>
  <c r="O64" i="20"/>
  <c r="I87" i="20"/>
  <c r="L64" i="20"/>
  <c r="J87" i="20"/>
  <c r="AD64" i="20"/>
  <c r="I64" i="20"/>
  <c r="U64" i="20"/>
  <c r="X64" i="20"/>
  <c r="O87" i="20"/>
  <c r="R64" i="20"/>
  <c r="P87" i="20"/>
  <c r="Q87" i="20"/>
  <c r="V64" i="20"/>
  <c r="B64" i="20"/>
  <c r="D65" i="20"/>
  <c r="B88" i="20"/>
  <c r="C65" i="20"/>
  <c r="E65" i="20"/>
  <c r="E88" i="20"/>
  <c r="F65" i="20"/>
  <c r="G65" i="20"/>
  <c r="K65" i="20"/>
  <c r="O65" i="20"/>
  <c r="I88" i="20"/>
  <c r="L65" i="20"/>
  <c r="J88" i="20"/>
  <c r="AD65" i="20"/>
  <c r="I65" i="20"/>
  <c r="U65" i="20"/>
  <c r="X65" i="20"/>
  <c r="O88" i="20"/>
  <c r="R65" i="20"/>
  <c r="P88" i="20"/>
  <c r="Q88" i="20"/>
  <c r="V65" i="20"/>
  <c r="B65" i="20"/>
  <c r="H68" i="20"/>
  <c r="M68" i="20"/>
  <c r="Q68" i="20"/>
  <c r="S68" i="20"/>
  <c r="T68" i="20"/>
  <c r="W68" i="20"/>
  <c r="Y68" i="20"/>
  <c r="Z68" i="20"/>
  <c r="AA68" i="20"/>
  <c r="AB68" i="20"/>
  <c r="AC68" i="20"/>
  <c r="AE68" i="20"/>
  <c r="AF68" i="20"/>
  <c r="AG68" i="20"/>
  <c r="H69" i="20"/>
  <c r="M69" i="20"/>
  <c r="Q69" i="20"/>
  <c r="S69" i="20"/>
  <c r="T69" i="20"/>
  <c r="W69" i="20"/>
  <c r="Y69" i="20"/>
  <c r="Z69" i="20"/>
  <c r="AA69" i="20"/>
  <c r="AB69" i="20"/>
  <c r="AC69" i="20"/>
  <c r="AE69" i="20"/>
  <c r="AF69" i="20"/>
  <c r="AG69" i="20"/>
  <c r="H70" i="20"/>
  <c r="M70" i="20"/>
  <c r="Q70" i="20"/>
  <c r="S70" i="20"/>
  <c r="T70" i="20"/>
  <c r="W70" i="20"/>
  <c r="Y70" i="20"/>
  <c r="Z70" i="20"/>
  <c r="AA70" i="20"/>
  <c r="AB70" i="20"/>
  <c r="AC70" i="20"/>
  <c r="AE70" i="20"/>
  <c r="AF70" i="20"/>
  <c r="AG70" i="20"/>
  <c r="H61" i="20"/>
  <c r="M61" i="20"/>
  <c r="Q61" i="20"/>
  <c r="S61" i="20"/>
  <c r="T61" i="20"/>
  <c r="W61" i="20"/>
  <c r="Y61" i="20"/>
  <c r="Z61" i="20"/>
  <c r="AA61" i="20"/>
  <c r="AB61" i="20"/>
  <c r="AC61" i="20"/>
  <c r="AE61" i="20"/>
  <c r="AF61" i="20"/>
  <c r="AG61" i="20"/>
  <c r="H62" i="20"/>
  <c r="M62" i="20"/>
  <c r="Q62" i="20"/>
  <c r="S62" i="20"/>
  <c r="T62" i="20"/>
  <c r="W62" i="20"/>
  <c r="Y62" i="20"/>
  <c r="Z62" i="20"/>
  <c r="AA62" i="20"/>
  <c r="AB62" i="20"/>
  <c r="AC62" i="20"/>
  <c r="AE62" i="20"/>
  <c r="AF62" i="20"/>
  <c r="AG62" i="20"/>
  <c r="H63" i="20"/>
  <c r="M63" i="20"/>
  <c r="Q63" i="20"/>
  <c r="S63" i="20"/>
  <c r="T63" i="20"/>
  <c r="W63" i="20"/>
  <c r="Y63" i="20"/>
  <c r="Z63" i="20"/>
  <c r="AA63" i="20"/>
  <c r="AB63" i="20"/>
  <c r="AC63" i="20"/>
  <c r="AE63" i="20"/>
  <c r="AF63" i="20"/>
  <c r="AG63" i="20"/>
  <c r="H64" i="20"/>
  <c r="M64" i="20"/>
  <c r="Q64" i="20"/>
  <c r="S64" i="20"/>
  <c r="T64" i="20"/>
  <c r="W64" i="20"/>
  <c r="Y64" i="20"/>
  <c r="Z64" i="20"/>
  <c r="AA64" i="20"/>
  <c r="AB64" i="20"/>
  <c r="AC64" i="20"/>
  <c r="AE64" i="20"/>
  <c r="AF64" i="20"/>
  <c r="AG64" i="20"/>
  <c r="H65" i="20"/>
  <c r="M65" i="20"/>
  <c r="Q65" i="20"/>
  <c r="S65" i="20"/>
  <c r="T65" i="20"/>
  <c r="W65" i="20"/>
  <c r="Y65" i="20"/>
  <c r="Z65" i="20"/>
  <c r="AA65" i="20"/>
  <c r="AB65" i="20"/>
  <c r="AC65" i="20"/>
  <c r="AE65" i="20"/>
  <c r="AF65" i="20"/>
  <c r="AG65" i="20"/>
  <c r="H66" i="20"/>
  <c r="M66" i="20"/>
  <c r="Q66" i="20"/>
  <c r="S66" i="20"/>
  <c r="T66" i="20"/>
  <c r="W66" i="20"/>
  <c r="Y66" i="20"/>
  <c r="Z66" i="20"/>
  <c r="AA66" i="20"/>
  <c r="AB66" i="20"/>
  <c r="AC66" i="20"/>
  <c r="AE66" i="20"/>
  <c r="AF66" i="20"/>
  <c r="AG66" i="20"/>
  <c r="H67" i="20"/>
  <c r="M67" i="20"/>
  <c r="Q67" i="20"/>
  <c r="S67" i="20"/>
  <c r="T67" i="20"/>
  <c r="W67" i="20"/>
  <c r="Y67" i="20"/>
  <c r="Z67" i="20"/>
  <c r="AA67" i="20"/>
  <c r="AB67" i="20"/>
  <c r="AC67" i="20"/>
  <c r="AE67" i="20"/>
  <c r="AF67" i="20"/>
  <c r="AG67" i="20"/>
  <c r="A36" i="20"/>
  <c r="B36" i="20"/>
  <c r="C36" i="20"/>
  <c r="D36" i="20"/>
  <c r="E36" i="20"/>
  <c r="F36" i="20"/>
  <c r="H36" i="20"/>
  <c r="I36" i="20"/>
  <c r="J36" i="20"/>
  <c r="O36" i="20"/>
  <c r="P36" i="20"/>
  <c r="R36" i="20"/>
  <c r="Q36" i="20"/>
  <c r="U36" i="20"/>
  <c r="V36" i="20"/>
  <c r="A37" i="20"/>
  <c r="B37" i="20"/>
  <c r="F37" i="20"/>
  <c r="C37" i="20"/>
  <c r="D37" i="20"/>
  <c r="E37" i="20"/>
  <c r="H37" i="20"/>
  <c r="I37" i="20"/>
  <c r="J37" i="20"/>
  <c r="O37" i="20"/>
  <c r="P37" i="20"/>
  <c r="R37" i="20"/>
  <c r="Q37" i="20"/>
  <c r="U37" i="20"/>
  <c r="V37" i="20"/>
  <c r="A38" i="20"/>
  <c r="B38" i="20"/>
  <c r="C38" i="20"/>
  <c r="D38" i="20"/>
  <c r="E38" i="20"/>
  <c r="H38" i="20"/>
  <c r="I38" i="20"/>
  <c r="J38" i="20"/>
  <c r="O38" i="20"/>
  <c r="P38" i="20"/>
  <c r="R38" i="20"/>
  <c r="Q38" i="20"/>
  <c r="U38" i="20"/>
  <c r="V38" i="20"/>
  <c r="A39" i="20"/>
  <c r="B39" i="20"/>
  <c r="C39" i="20"/>
  <c r="D39" i="20"/>
  <c r="E39" i="20"/>
  <c r="H39" i="20"/>
  <c r="I39" i="20"/>
  <c r="J39" i="20"/>
  <c r="O39" i="20"/>
  <c r="P39" i="20"/>
  <c r="R39" i="20"/>
  <c r="Q39" i="20"/>
  <c r="U39" i="20"/>
  <c r="V39" i="20"/>
  <c r="A40" i="20"/>
  <c r="B40" i="20"/>
  <c r="C40" i="20"/>
  <c r="D40" i="20"/>
  <c r="E40" i="20"/>
  <c r="H40" i="20"/>
  <c r="I40" i="20"/>
  <c r="J40" i="20"/>
  <c r="O40" i="20"/>
  <c r="P40" i="20"/>
  <c r="R40" i="20"/>
  <c r="Q40" i="20"/>
  <c r="U40" i="20"/>
  <c r="V40" i="20"/>
  <c r="A41" i="20"/>
  <c r="B41" i="20"/>
  <c r="C41" i="20"/>
  <c r="D41" i="20"/>
  <c r="E41" i="20"/>
  <c r="H41" i="20"/>
  <c r="I41" i="20"/>
  <c r="J41" i="20"/>
  <c r="O41" i="20"/>
  <c r="P41" i="20"/>
  <c r="R41" i="20"/>
  <c r="Q41" i="20"/>
  <c r="U41" i="20"/>
  <c r="V41" i="20"/>
  <c r="A42" i="20"/>
  <c r="B42" i="20"/>
  <c r="C42" i="20"/>
  <c r="D42" i="20"/>
  <c r="E42" i="20"/>
  <c r="F42" i="20"/>
  <c r="H42" i="20"/>
  <c r="I42" i="20"/>
  <c r="J42" i="20"/>
  <c r="O42" i="20"/>
  <c r="P42" i="20"/>
  <c r="R42" i="20"/>
  <c r="Q42" i="20"/>
  <c r="U42" i="20"/>
  <c r="V42" i="20"/>
  <c r="A43" i="20"/>
  <c r="B43" i="20"/>
  <c r="C43" i="20"/>
  <c r="D43" i="20"/>
  <c r="E43" i="20"/>
  <c r="F43" i="20"/>
  <c r="H43" i="20"/>
  <c r="I43" i="20"/>
  <c r="J43" i="20"/>
  <c r="O43" i="20"/>
  <c r="P43" i="20"/>
  <c r="Q43" i="20"/>
  <c r="U43" i="20"/>
  <c r="V43" i="20"/>
  <c r="A44" i="20"/>
  <c r="B44" i="20"/>
  <c r="C44" i="20"/>
  <c r="D44" i="20"/>
  <c r="E44" i="20"/>
  <c r="H44" i="20"/>
  <c r="I44" i="20"/>
  <c r="J44" i="20"/>
  <c r="O44" i="20"/>
  <c r="P44" i="20"/>
  <c r="Q44" i="20"/>
  <c r="U44" i="20"/>
  <c r="V44" i="20"/>
  <c r="A45" i="20"/>
  <c r="B45" i="20"/>
  <c r="C45" i="20"/>
  <c r="D45" i="20"/>
  <c r="E45" i="20"/>
  <c r="H45" i="20"/>
  <c r="I45" i="20"/>
  <c r="J45" i="20"/>
  <c r="O45" i="20"/>
  <c r="P45" i="20"/>
  <c r="R45" i="20"/>
  <c r="Q45" i="20"/>
  <c r="U45" i="20"/>
  <c r="V45" i="20"/>
  <c r="U26" i="20"/>
  <c r="U27" i="20"/>
  <c r="U28" i="20"/>
  <c r="U29" i="20"/>
  <c r="U30" i="20"/>
  <c r="U31" i="20"/>
  <c r="U32" i="20"/>
  <c r="U33" i="20"/>
  <c r="U34" i="20"/>
  <c r="U35" i="20"/>
  <c r="V26" i="20"/>
  <c r="V27" i="20"/>
  <c r="V28" i="20"/>
  <c r="V29" i="20"/>
  <c r="V30" i="20"/>
  <c r="V31" i="20"/>
  <c r="V32" i="20"/>
  <c r="V33" i="20"/>
  <c r="V34" i="20"/>
  <c r="V35" i="20"/>
  <c r="B26" i="20"/>
  <c r="B27" i="20"/>
  <c r="B28" i="20"/>
  <c r="B29" i="20"/>
  <c r="B30" i="20"/>
  <c r="B31" i="20"/>
  <c r="B32" i="20"/>
  <c r="B33" i="20"/>
  <c r="B34" i="20"/>
  <c r="B35" i="20"/>
  <c r="H100" i="20"/>
  <c r="M100" i="20"/>
  <c r="Q100" i="20"/>
  <c r="S100" i="20"/>
  <c r="T100" i="20"/>
  <c r="W100" i="20"/>
  <c r="Z100" i="20"/>
  <c r="AA100" i="20"/>
  <c r="AB100" i="20"/>
  <c r="AC100" i="20"/>
  <c r="AE100" i="20"/>
  <c r="AF100" i="20"/>
  <c r="AG100" i="20"/>
  <c r="H101" i="20"/>
  <c r="M101" i="20"/>
  <c r="Q101" i="20"/>
  <c r="S101" i="20"/>
  <c r="T101" i="20"/>
  <c r="W101" i="20"/>
  <c r="Z101" i="20"/>
  <c r="AA101" i="20"/>
  <c r="AB101" i="20"/>
  <c r="AC101" i="20"/>
  <c r="AE101" i="20"/>
  <c r="AF101" i="20"/>
  <c r="AG101" i="20"/>
  <c r="H102" i="20"/>
  <c r="M102" i="20"/>
  <c r="Q102" i="20"/>
  <c r="S102" i="20"/>
  <c r="T102" i="20"/>
  <c r="W102" i="20"/>
  <c r="Z102" i="20"/>
  <c r="AA102" i="20"/>
  <c r="AB102" i="20"/>
  <c r="AC102" i="20"/>
  <c r="AE102" i="20"/>
  <c r="AF102" i="20"/>
  <c r="AG102" i="20"/>
  <c r="H103" i="20"/>
  <c r="M103" i="20"/>
  <c r="Q103" i="20"/>
  <c r="S103" i="20"/>
  <c r="T103" i="20"/>
  <c r="W103" i="20"/>
  <c r="Z103" i="20"/>
  <c r="AA103" i="20"/>
  <c r="AB103" i="20"/>
  <c r="AC103" i="20"/>
  <c r="AE103" i="20"/>
  <c r="AF103" i="20"/>
  <c r="AG103" i="20"/>
  <c r="H104" i="20"/>
  <c r="M104" i="20"/>
  <c r="Q104" i="20"/>
  <c r="S104" i="20"/>
  <c r="T104" i="20"/>
  <c r="W104" i="20"/>
  <c r="Z104" i="20"/>
  <c r="AA104" i="20"/>
  <c r="AB104" i="20"/>
  <c r="AC104" i="20"/>
  <c r="AE104" i="20"/>
  <c r="AF104" i="20"/>
  <c r="AG104" i="20"/>
  <c r="H105" i="20"/>
  <c r="M105" i="20"/>
  <c r="Q105" i="20"/>
  <c r="S105" i="20"/>
  <c r="T105" i="20"/>
  <c r="W105" i="20"/>
  <c r="Z105" i="20"/>
  <c r="AA105" i="20"/>
  <c r="AB105" i="20"/>
  <c r="AC105" i="20"/>
  <c r="AE105" i="20"/>
  <c r="AF105" i="20"/>
  <c r="AG105" i="20"/>
  <c r="H106" i="20"/>
  <c r="M106" i="20"/>
  <c r="Q106" i="20"/>
  <c r="S106" i="20"/>
  <c r="T106" i="20"/>
  <c r="W106" i="20"/>
  <c r="Z106" i="20"/>
  <c r="AA106" i="20"/>
  <c r="AB106" i="20"/>
  <c r="AC106" i="20"/>
  <c r="AE106" i="20"/>
  <c r="AF106" i="20"/>
  <c r="AG106" i="20"/>
  <c r="H107" i="20"/>
  <c r="M107" i="20"/>
  <c r="Q107" i="20"/>
  <c r="S107" i="20"/>
  <c r="T107" i="20"/>
  <c r="W107" i="20"/>
  <c r="Z107" i="20"/>
  <c r="AA107" i="20"/>
  <c r="AB107" i="20"/>
  <c r="AC107" i="20"/>
  <c r="AE107" i="20"/>
  <c r="AF107" i="20"/>
  <c r="AG107" i="20"/>
  <c r="H108" i="20"/>
  <c r="M108" i="20"/>
  <c r="Q108" i="20"/>
  <c r="S108" i="20"/>
  <c r="T108" i="20"/>
  <c r="W108" i="20"/>
  <c r="Z108" i="20"/>
  <c r="AA108" i="20"/>
  <c r="AB108" i="20"/>
  <c r="AC108" i="20"/>
  <c r="AE108" i="20"/>
  <c r="AF108" i="20"/>
  <c r="AG108" i="20"/>
  <c r="H99" i="20"/>
  <c r="M99" i="20"/>
  <c r="Q99" i="20"/>
  <c r="S99" i="20"/>
  <c r="T99" i="20"/>
  <c r="W99" i="20"/>
  <c r="Z99" i="20"/>
  <c r="AA99" i="20"/>
  <c r="AB99" i="20"/>
  <c r="AC99" i="20"/>
  <c r="AE99" i="20"/>
  <c r="AF99" i="20"/>
  <c r="AG99" i="20"/>
  <c r="H52" i="20"/>
  <c r="M52" i="20"/>
  <c r="Q52" i="20"/>
  <c r="S52" i="20"/>
  <c r="T52" i="20"/>
  <c r="W52" i="20"/>
  <c r="Z52" i="20"/>
  <c r="AA52" i="20"/>
  <c r="AB52" i="20"/>
  <c r="AC52" i="20"/>
  <c r="AE52" i="20"/>
  <c r="AF52" i="20"/>
  <c r="AG52" i="20"/>
  <c r="H53" i="20"/>
  <c r="M53" i="20"/>
  <c r="Q53" i="20"/>
  <c r="S53" i="20"/>
  <c r="T53" i="20"/>
  <c r="W53" i="20"/>
  <c r="Z53" i="20"/>
  <c r="AA53" i="20"/>
  <c r="AB53" i="20"/>
  <c r="AC53" i="20"/>
  <c r="AE53" i="20"/>
  <c r="AF53" i="20"/>
  <c r="AG53" i="20"/>
  <c r="H54" i="20"/>
  <c r="M54" i="20"/>
  <c r="Q54" i="20"/>
  <c r="S54" i="20"/>
  <c r="T54" i="20"/>
  <c r="W54" i="20"/>
  <c r="Z54" i="20"/>
  <c r="AA54" i="20"/>
  <c r="AB54" i="20"/>
  <c r="AC54" i="20"/>
  <c r="AE54" i="20"/>
  <c r="AF54" i="20"/>
  <c r="AG54" i="20"/>
  <c r="H55" i="20"/>
  <c r="M55" i="20"/>
  <c r="Q55" i="20"/>
  <c r="S55" i="20"/>
  <c r="T55" i="20"/>
  <c r="W55" i="20"/>
  <c r="Z55" i="20"/>
  <c r="AA55" i="20"/>
  <c r="AB55" i="20"/>
  <c r="AC55" i="20"/>
  <c r="AE55" i="20"/>
  <c r="AF55" i="20"/>
  <c r="AG55" i="20"/>
  <c r="H56" i="20"/>
  <c r="M56" i="20"/>
  <c r="Q56" i="20"/>
  <c r="S56" i="20"/>
  <c r="T56" i="20"/>
  <c r="W56" i="20"/>
  <c r="Z56" i="20"/>
  <c r="AA56" i="20"/>
  <c r="AB56" i="20"/>
  <c r="AC56" i="20"/>
  <c r="AE56" i="20"/>
  <c r="AF56" i="20"/>
  <c r="AG56" i="20"/>
  <c r="H57" i="20"/>
  <c r="M57" i="20"/>
  <c r="Q57" i="20"/>
  <c r="S57" i="20"/>
  <c r="T57" i="20"/>
  <c r="W57" i="20"/>
  <c r="Z57" i="20"/>
  <c r="AA57" i="20"/>
  <c r="AB57" i="20"/>
  <c r="AC57" i="20"/>
  <c r="AE57" i="20"/>
  <c r="AF57" i="20"/>
  <c r="AG57" i="20"/>
  <c r="H58" i="20"/>
  <c r="M58" i="20"/>
  <c r="Q58" i="20"/>
  <c r="S58" i="20"/>
  <c r="T58" i="20"/>
  <c r="W58" i="20"/>
  <c r="Z58" i="20"/>
  <c r="AA58" i="20"/>
  <c r="AB58" i="20"/>
  <c r="AC58" i="20"/>
  <c r="AE58" i="20"/>
  <c r="AF58" i="20"/>
  <c r="AG58" i="20"/>
  <c r="H59" i="20"/>
  <c r="M59" i="20"/>
  <c r="Q59" i="20"/>
  <c r="S59" i="20"/>
  <c r="T59" i="20"/>
  <c r="W59" i="20"/>
  <c r="Y59" i="20"/>
  <c r="Z59" i="20"/>
  <c r="AA59" i="20"/>
  <c r="AB59" i="20"/>
  <c r="AC59" i="20"/>
  <c r="AE59" i="20"/>
  <c r="AF59" i="20"/>
  <c r="AG59" i="20"/>
  <c r="H60" i="20"/>
  <c r="M60" i="20"/>
  <c r="Q60" i="20"/>
  <c r="S60" i="20"/>
  <c r="T60" i="20"/>
  <c r="W60" i="20"/>
  <c r="Y60" i="20"/>
  <c r="R83" i="20"/>
  <c r="Z60" i="20"/>
  <c r="AA60" i="20"/>
  <c r="AB60" i="20"/>
  <c r="AC60" i="20"/>
  <c r="AE60" i="20"/>
  <c r="AF60" i="20"/>
  <c r="AG60" i="20"/>
  <c r="A27" i="20"/>
  <c r="C27" i="20"/>
  <c r="D27" i="20"/>
  <c r="E27" i="20"/>
  <c r="H27" i="20"/>
  <c r="I27" i="20"/>
  <c r="J27" i="20"/>
  <c r="O27" i="20"/>
  <c r="P27" i="20"/>
  <c r="R27" i="20"/>
  <c r="Q27" i="20"/>
  <c r="A28" i="20"/>
  <c r="C28" i="20"/>
  <c r="D28" i="20"/>
  <c r="E28" i="20"/>
  <c r="F28" i="20"/>
  <c r="H28" i="20"/>
  <c r="I28" i="20"/>
  <c r="J28" i="20"/>
  <c r="O28" i="20"/>
  <c r="P28" i="20"/>
  <c r="R28" i="20"/>
  <c r="Q28" i="20"/>
  <c r="A29" i="20"/>
  <c r="C29" i="20"/>
  <c r="D29" i="20"/>
  <c r="E29" i="20"/>
  <c r="H29" i="20"/>
  <c r="I29" i="20"/>
  <c r="J29" i="20"/>
  <c r="O29" i="20"/>
  <c r="P29" i="20"/>
  <c r="R29" i="20"/>
  <c r="Q29" i="20"/>
  <c r="A30" i="20"/>
  <c r="C30" i="20"/>
  <c r="D30" i="20"/>
  <c r="E30" i="20"/>
  <c r="H30" i="20"/>
  <c r="I30" i="20"/>
  <c r="J30" i="20"/>
  <c r="O30" i="20"/>
  <c r="P30" i="20"/>
  <c r="R30" i="20"/>
  <c r="Q30" i="20"/>
  <c r="A31" i="20"/>
  <c r="C31" i="20"/>
  <c r="D31" i="20"/>
  <c r="E31" i="20"/>
  <c r="H31" i="20"/>
  <c r="I31" i="20"/>
  <c r="J31" i="20"/>
  <c r="O31" i="20"/>
  <c r="P31" i="20"/>
  <c r="R31" i="20"/>
  <c r="Q31" i="20"/>
  <c r="A32" i="20"/>
  <c r="C32" i="20"/>
  <c r="D32" i="20"/>
  <c r="E32" i="20"/>
  <c r="F32" i="20"/>
  <c r="H32" i="20"/>
  <c r="I32" i="20"/>
  <c r="J32" i="20"/>
  <c r="O32" i="20"/>
  <c r="P32" i="20"/>
  <c r="R32" i="20"/>
  <c r="Q32" i="20"/>
  <c r="A33" i="20"/>
  <c r="C33" i="20"/>
  <c r="D33" i="20"/>
  <c r="E33" i="20"/>
  <c r="H33" i="20"/>
  <c r="I33" i="20"/>
  <c r="J33" i="20"/>
  <c r="O33" i="20"/>
  <c r="P33" i="20"/>
  <c r="R33" i="20"/>
  <c r="Q33" i="20"/>
  <c r="A34" i="20"/>
  <c r="C34" i="20"/>
  <c r="D34" i="20"/>
  <c r="G34" i="20"/>
  <c r="N34" i="20"/>
  <c r="T34" i="20"/>
  <c r="E34" i="20"/>
  <c r="F34" i="20"/>
  <c r="H34" i="20"/>
  <c r="I34" i="20"/>
  <c r="J34" i="20"/>
  <c r="O34" i="20"/>
  <c r="P34" i="20"/>
  <c r="R34" i="20"/>
  <c r="Q34" i="20"/>
  <c r="A35" i="20"/>
  <c r="C35" i="20"/>
  <c r="D35" i="20"/>
  <c r="E35" i="20"/>
  <c r="F35" i="20"/>
  <c r="H35" i="20"/>
  <c r="I35" i="20"/>
  <c r="J35" i="20"/>
  <c r="O35" i="20"/>
  <c r="P35" i="20"/>
  <c r="R35" i="20"/>
  <c r="Q35" i="20"/>
  <c r="Q26" i="20"/>
  <c r="C26" i="20"/>
  <c r="D26" i="20"/>
  <c r="E26" i="20"/>
  <c r="F26" i="20"/>
  <c r="H26" i="20"/>
  <c r="I26" i="20"/>
  <c r="J26" i="20"/>
  <c r="P26" i="20"/>
  <c r="R26" i="20"/>
  <c r="T121" i="20"/>
  <c r="C73" i="20"/>
  <c r="D73" i="20"/>
  <c r="E73" i="20"/>
  <c r="F73" i="20"/>
  <c r="G73" i="20"/>
  <c r="H73" i="20"/>
  <c r="I73" i="20"/>
  <c r="J73" i="20"/>
  <c r="K73" i="20"/>
  <c r="N73" i="20"/>
  <c r="O73" i="20"/>
  <c r="P73" i="20"/>
  <c r="Q73" i="20"/>
  <c r="R73" i="20"/>
  <c r="S73" i="20"/>
  <c r="T73" i="20"/>
  <c r="A26" i="20"/>
  <c r="O26" i="20"/>
  <c r="H51" i="20"/>
  <c r="M51" i="20"/>
  <c r="Q51" i="20"/>
  <c r="S51" i="20"/>
  <c r="T51" i="20"/>
  <c r="W51" i="20"/>
  <c r="Z51" i="20"/>
  <c r="AA51" i="20"/>
  <c r="AB51" i="20"/>
  <c r="AC51" i="20"/>
  <c r="AE51" i="20"/>
  <c r="AF51" i="20"/>
  <c r="AG51" i="20"/>
  <c r="M93" i="20"/>
  <c r="DU10" i="20"/>
  <c r="I64" i="32"/>
  <c r="B140" i="20"/>
  <c r="C140" i="20"/>
  <c r="B136" i="20"/>
  <c r="I130" i="20"/>
  <c r="DX10" i="20"/>
  <c r="L64" i="32"/>
  <c r="DS4" i="20"/>
  <c r="G58" i="32"/>
  <c r="DR3" i="20"/>
  <c r="F57" i="32"/>
  <c r="DQ6" i="20"/>
  <c r="E60" i="32"/>
  <c r="DQ10" i="20"/>
  <c r="E64" i="32"/>
  <c r="K126" i="20"/>
  <c r="B79" i="20"/>
  <c r="DP10" i="20"/>
  <c r="D64" i="32"/>
  <c r="B125" i="20"/>
  <c r="C125" i="20"/>
  <c r="K132" i="20"/>
  <c r="L129" i="20"/>
  <c r="K129" i="20"/>
  <c r="C131" i="20"/>
  <c r="DU8" i="20"/>
  <c r="I62" i="32"/>
  <c r="DP8" i="20"/>
  <c r="D62" i="32"/>
  <c r="DT8" i="20"/>
  <c r="H62" i="32"/>
  <c r="M132" i="20"/>
  <c r="DY5" i="20"/>
  <c r="M59" i="32"/>
  <c r="DO10" i="20"/>
  <c r="C64" i="32"/>
  <c r="K128" i="20"/>
  <c r="DQ4" i="20"/>
  <c r="E58" i="32"/>
  <c r="DU4" i="20"/>
  <c r="I58" i="32"/>
  <c r="DW4" i="20"/>
  <c r="K58" i="32"/>
  <c r="DY4" i="20"/>
  <c r="M58" i="32"/>
  <c r="I91" i="20"/>
  <c r="L92" i="20"/>
  <c r="CA10" i="20"/>
  <c r="J40" i="32"/>
  <c r="D85" i="20"/>
  <c r="B134" i="20"/>
  <c r="F134" i="20"/>
  <c r="B132" i="20"/>
  <c r="F132" i="20"/>
  <c r="D82" i="20"/>
  <c r="D133" i="20"/>
  <c r="B82" i="20"/>
  <c r="F82" i="20"/>
  <c r="C82" i="20"/>
  <c r="C80" i="20"/>
  <c r="DZ6" i="20"/>
  <c r="N60" i="32"/>
  <c r="DR6" i="20"/>
  <c r="F60" i="32"/>
  <c r="DP6" i="20"/>
  <c r="D60" i="32"/>
  <c r="DX6" i="20"/>
  <c r="L60" i="32"/>
  <c r="DZ10" i="20"/>
  <c r="N64" i="32"/>
  <c r="DY10" i="20"/>
  <c r="M64" i="32"/>
  <c r="DY7" i="20"/>
  <c r="M61" i="32"/>
  <c r="DY3" i="20"/>
  <c r="M57" i="32"/>
  <c r="DT6" i="20"/>
  <c r="H60" i="32"/>
  <c r="DQ9" i="20"/>
  <c r="E63" i="32"/>
  <c r="L124" i="20"/>
  <c r="B91" i="20"/>
  <c r="N91" i="20"/>
  <c r="B74" i="20"/>
  <c r="DW3" i="20"/>
  <c r="K57" i="32"/>
  <c r="B133" i="20"/>
  <c r="C133" i="20"/>
  <c r="CA7" i="20"/>
  <c r="J37" i="32"/>
  <c r="CA3" i="20"/>
  <c r="J33" i="32"/>
  <c r="M137" i="20"/>
  <c r="S132" i="20"/>
  <c r="C122" i="20"/>
  <c r="M126" i="20"/>
  <c r="K131" i="20"/>
  <c r="DV9" i="20"/>
  <c r="J63" i="32"/>
  <c r="T91" i="20"/>
  <c r="DR10" i="20"/>
  <c r="F64" i="32"/>
  <c r="DP9" i="20"/>
  <c r="D63" i="32"/>
  <c r="DS6" i="20"/>
  <c r="G60" i="32"/>
  <c r="BZ23" i="20"/>
  <c r="H49" i="32" s="1"/>
  <c r="BY23" i="20"/>
  <c r="I49" i="32" s="1"/>
  <c r="DW10" i="20"/>
  <c r="K64" i="32"/>
  <c r="DW9" i="20"/>
  <c r="K63" i="32"/>
  <c r="DO6" i="20"/>
  <c r="C60" i="32"/>
  <c r="P60" i="32"/>
  <c r="DU3" i="20"/>
  <c r="I57" i="32"/>
  <c r="DY8" i="20"/>
  <c r="M62" i="32"/>
  <c r="CA8" i="20"/>
  <c r="J38" i="32"/>
  <c r="DY6" i="20"/>
  <c r="M60" i="32"/>
  <c r="DX8" i="20"/>
  <c r="L62" i="32"/>
  <c r="DL5" i="20"/>
  <c r="CR23" i="20"/>
  <c r="G28" i="32" s="1"/>
  <c r="CZ23" i="20"/>
  <c r="CJ23" i="20"/>
  <c r="H81" i="20"/>
  <c r="K123" i="20"/>
  <c r="CV23" i="20"/>
  <c r="N49" i="32" s="1"/>
  <c r="CN23" i="20"/>
  <c r="M81" i="20"/>
  <c r="S129" i="20"/>
  <c r="C129" i="20"/>
  <c r="DW8" i="20"/>
  <c r="K62" i="32"/>
  <c r="DS8" i="20"/>
  <c r="G62" i="32"/>
  <c r="S78" i="20"/>
  <c r="DX7" i="20"/>
  <c r="L61" i="32"/>
  <c r="DR7" i="20"/>
  <c r="F61" i="32"/>
  <c r="DS7" i="20"/>
  <c r="G61" i="32"/>
  <c r="C126" i="20"/>
  <c r="M77" i="20"/>
  <c r="C77" i="20"/>
  <c r="K77" i="20"/>
  <c r="CL23" i="20"/>
  <c r="DZ4" i="20"/>
  <c r="N58" i="32"/>
  <c r="BS23" i="20"/>
  <c r="K22" i="32" s="1"/>
  <c r="CX23" i="20"/>
  <c r="CE23" i="20"/>
  <c r="CK23" i="20"/>
  <c r="CM23" i="20"/>
  <c r="CH23" i="20"/>
  <c r="CF23" i="20"/>
  <c r="M74" i="20"/>
  <c r="D78" i="20"/>
  <c r="DO9" i="20"/>
  <c r="C63" i="32"/>
  <c r="P63" i="32"/>
  <c r="DU9" i="20"/>
  <c r="I63" i="32"/>
  <c r="DS9" i="20"/>
  <c r="G63" i="32"/>
  <c r="DY9" i="20"/>
  <c r="M63" i="32"/>
  <c r="K133" i="20"/>
  <c r="N90" i="20"/>
  <c r="DL20" i="20"/>
  <c r="EA20" i="20" s="1"/>
  <c r="M135" i="20"/>
  <c r="DL15" i="20"/>
  <c r="H134" i="20"/>
  <c r="H75" i="20"/>
  <c r="I75" i="20"/>
  <c r="DX4" i="20"/>
  <c r="L58" i="32"/>
  <c r="H76" i="20"/>
  <c r="K88" i="20"/>
  <c r="H91" i="20"/>
  <c r="DV4" i="20"/>
  <c r="J58" i="32"/>
  <c r="DR8" i="20"/>
  <c r="F62" i="32"/>
  <c r="K127" i="20"/>
  <c r="H127" i="20"/>
  <c r="S126" i="20"/>
  <c r="DZ3" i="20"/>
  <c r="N57" i="32"/>
  <c r="CP23" i="20"/>
  <c r="C28" i="32" s="1"/>
  <c r="BN23" i="20"/>
  <c r="C76" i="20"/>
  <c r="DL10" i="20"/>
  <c r="O84" i="32"/>
  <c r="DT9" i="20"/>
  <c r="H63" i="32"/>
  <c r="DV10" i="20"/>
  <c r="J64" i="32"/>
  <c r="F91" i="20"/>
  <c r="DO7" i="20"/>
  <c r="C61" i="32"/>
  <c r="DX9" i="20"/>
  <c r="L63" i="32"/>
  <c r="CI23" i="20"/>
  <c r="K90" i="20"/>
  <c r="DC23" i="20"/>
  <c r="DR9" i="20"/>
  <c r="F63" i="32"/>
  <c r="CQ23" i="20"/>
  <c r="E28" i="32" s="1"/>
  <c r="DM23" i="20"/>
  <c r="G22" i="32" s="1"/>
  <c r="K92" i="20"/>
  <c r="DL22" i="20"/>
  <c r="DL9" i="20"/>
  <c r="O83" i="32"/>
  <c r="DZ8" i="20"/>
  <c r="N62" i="32"/>
  <c r="DL19" i="20"/>
  <c r="EA19" i="20"/>
  <c r="F30" i="20"/>
  <c r="C90" i="20"/>
  <c r="DL21" i="20"/>
  <c r="K140" i="20"/>
  <c r="S137" i="20"/>
  <c r="B83" i="20"/>
  <c r="K82" i="20"/>
  <c r="D77" i="20"/>
  <c r="M76" i="20"/>
  <c r="S130" i="20"/>
  <c r="DW7" i="20"/>
  <c r="K61" i="32"/>
  <c r="DV7" i="20"/>
  <c r="J61" i="32"/>
  <c r="BP23" i="20"/>
  <c r="F22" i="32" s="1"/>
  <c r="CW23" i="20"/>
  <c r="DU23" i="20" s="1"/>
  <c r="I73" i="32" s="1"/>
  <c r="I54" i="32" s="1"/>
  <c r="CG23" i="20"/>
  <c r="CA9" i="20"/>
  <c r="J39" i="32"/>
  <c r="DH23" i="20"/>
  <c r="C93" i="20"/>
  <c r="C92" i="20"/>
  <c r="DL17" i="20"/>
  <c r="EA17" i="20"/>
  <c r="O71" i="32"/>
  <c r="R141" i="20"/>
  <c r="F138" i="20"/>
  <c r="C138" i="20"/>
  <c r="M83" i="20"/>
  <c r="S80" i="20"/>
  <c r="S131" i="20"/>
  <c r="DX3" i="20"/>
  <c r="L57" i="32"/>
  <c r="DS3" i="20"/>
  <c r="G57" i="32"/>
  <c r="M124" i="20"/>
  <c r="M90" i="20"/>
  <c r="K84" i="20"/>
  <c r="K138" i="20"/>
  <c r="DV3" i="20"/>
  <c r="J57" i="32"/>
  <c r="H74" i="20"/>
  <c r="H130" i="20"/>
  <c r="DV8" i="20"/>
  <c r="J62" i="32"/>
  <c r="DP3" i="20"/>
  <c r="D57" i="32"/>
  <c r="S122" i="20"/>
  <c r="DL3" i="20"/>
  <c r="M122" i="20"/>
  <c r="H129" i="20"/>
  <c r="M128" i="20"/>
  <c r="C81" i="20"/>
  <c r="M80" i="20"/>
  <c r="M79" i="20"/>
  <c r="S77" i="20"/>
  <c r="S76" i="20"/>
  <c r="M75" i="20"/>
  <c r="K74" i="20"/>
  <c r="K122" i="20"/>
  <c r="H122" i="20"/>
  <c r="S127" i="20"/>
  <c r="M127" i="20"/>
  <c r="C127" i="20"/>
  <c r="C123" i="20"/>
  <c r="DU7" i="20"/>
  <c r="I61" i="32"/>
  <c r="CA12" i="20"/>
  <c r="J42" i="32"/>
  <c r="K49" i="32"/>
  <c r="DL12" i="20"/>
  <c r="EA12" i="20"/>
  <c r="O66" i="32"/>
  <c r="DL11" i="20"/>
  <c r="E49" i="32"/>
  <c r="DL6" i="20"/>
  <c r="O80" i="32"/>
  <c r="DW6" i="20"/>
  <c r="K60" i="32"/>
  <c r="DZ7" i="20"/>
  <c r="N61" i="32"/>
  <c r="P61" i="32"/>
  <c r="S93" i="20"/>
  <c r="N93" i="20"/>
  <c r="R44" i="20"/>
  <c r="K87" i="20"/>
  <c r="D87" i="20"/>
  <c r="I83" i="20"/>
  <c r="H83" i="20"/>
  <c r="L76" i="20"/>
  <c r="DS5" i="20"/>
  <c r="G59" i="32"/>
  <c r="DO5" i="20"/>
  <c r="C59" i="32"/>
  <c r="DU5" i="20"/>
  <c r="I59" i="32"/>
  <c r="DZ9" i="20"/>
  <c r="N63" i="32"/>
  <c r="DX5" i="20"/>
  <c r="L59" i="32"/>
  <c r="D40" i="32"/>
  <c r="DZ5" i="20"/>
  <c r="N59" i="32"/>
  <c r="DL4" i="20"/>
  <c r="DT5" i="20"/>
  <c r="H59" i="32"/>
  <c r="DP5" i="20"/>
  <c r="D59" i="32"/>
  <c r="T93" i="20"/>
  <c r="H92" i="20"/>
  <c r="DL13" i="20"/>
  <c r="O87" i="32"/>
  <c r="I132" i="20"/>
  <c r="H132" i="20"/>
  <c r="L81" i="20"/>
  <c r="K81" i="20"/>
  <c r="F45" i="20"/>
  <c r="G37" i="20"/>
  <c r="I84" i="20"/>
  <c r="B84" i="20"/>
  <c r="C84" i="20"/>
  <c r="C75" i="20"/>
  <c r="B75" i="20"/>
  <c r="F75" i="20"/>
  <c r="DQ5" i="20"/>
  <c r="E59" i="32"/>
  <c r="F40" i="20"/>
  <c r="M141" i="20"/>
  <c r="R140" i="20"/>
  <c r="S140" i="20"/>
  <c r="F140" i="20"/>
  <c r="D136" i="20"/>
  <c r="K136" i="20"/>
  <c r="S134" i="20"/>
  <c r="K134" i="20"/>
  <c r="I80" i="20"/>
  <c r="H80" i="20"/>
  <c r="H79" i="20"/>
  <c r="R136" i="20"/>
  <c r="I133" i="20"/>
  <c r="S79" i="20"/>
  <c r="I124" i="20"/>
  <c r="H124" i="20"/>
  <c r="R43" i="20"/>
  <c r="S88" i="20"/>
  <c r="G90" i="20"/>
  <c r="K86" i="20"/>
  <c r="H137" i="20"/>
  <c r="I137" i="20"/>
  <c r="DL14" i="20"/>
  <c r="EA14" i="20"/>
  <c r="O68" i="32"/>
  <c r="H82" i="20"/>
  <c r="I82" i="20"/>
  <c r="DT4" i="20"/>
  <c r="H58" i="32"/>
  <c r="M133" i="20"/>
  <c r="R82" i="20"/>
  <c r="K75" i="20"/>
  <c r="M130" i="20"/>
  <c r="BV3" i="20"/>
  <c r="C33" i="32"/>
  <c r="BV23" i="20"/>
  <c r="C49" i="32" s="1"/>
  <c r="I128" i="20"/>
  <c r="I125" i="20"/>
  <c r="H125" i="20"/>
  <c r="S141" i="20"/>
  <c r="M138" i="20"/>
  <c r="H138" i="20"/>
  <c r="S136" i="20"/>
  <c r="M136" i="20"/>
  <c r="S135" i="20"/>
  <c r="S133" i="20"/>
  <c r="R131" i="20"/>
  <c r="DV5" i="20"/>
  <c r="J59" i="32"/>
  <c r="D37" i="32"/>
  <c r="H126" i="20"/>
  <c r="S74" i="20"/>
  <c r="DW5" i="20"/>
  <c r="K59" i="32"/>
  <c r="DT7" i="20"/>
  <c r="H61" i="32"/>
  <c r="CO23" i="20"/>
  <c r="CY23" i="20"/>
  <c r="R125" i="20"/>
  <c r="K125" i="20"/>
  <c r="H123" i="20"/>
  <c r="S138" i="20"/>
  <c r="Q81" i="20"/>
  <c r="DR4" i="20"/>
  <c r="F58" i="32"/>
  <c r="S125" i="20"/>
  <c r="M125" i="20"/>
  <c r="S124" i="20"/>
  <c r="M123" i="20"/>
  <c r="G140" i="20"/>
  <c r="G45" i="20"/>
  <c r="N45" i="20"/>
  <c r="T45" i="20"/>
  <c r="G43" i="20"/>
  <c r="F92" i="20"/>
  <c r="DL16" i="20"/>
  <c r="EA16" i="20"/>
  <c r="O70" i="32"/>
  <c r="K135" i="20"/>
  <c r="C135" i="20"/>
  <c r="I78" i="20"/>
  <c r="H78" i="20"/>
  <c r="DV6" i="20"/>
  <c r="J60" i="32"/>
  <c r="M129" i="20"/>
  <c r="DP7" i="20"/>
  <c r="D61" i="32"/>
  <c r="C124" i="20"/>
  <c r="S123" i="20"/>
  <c r="EC4" i="20"/>
  <c r="J7" i="32"/>
  <c r="EC5" i="20"/>
  <c r="J8" i="32"/>
  <c r="EC7" i="20"/>
  <c r="J10" i="32"/>
  <c r="DO4" i="20"/>
  <c r="C58" i="32"/>
  <c r="P58" i="32"/>
  <c r="S75" i="20"/>
  <c r="DP4" i="20"/>
  <c r="D58" i="32"/>
  <c r="C128" i="20"/>
  <c r="DQ3" i="20"/>
  <c r="E57" i="32"/>
  <c r="CA5" i="20"/>
  <c r="J35" i="32"/>
  <c r="EC3" i="20"/>
  <c r="J6" i="32"/>
  <c r="EC6" i="20"/>
  <c r="J9" i="32"/>
  <c r="EC9" i="20"/>
  <c r="J12" i="32"/>
  <c r="EC10" i="20"/>
  <c r="J13" i="32"/>
  <c r="DT10" i="20"/>
  <c r="H64" i="32"/>
  <c r="R79" i="20"/>
  <c r="K79" i="20"/>
  <c r="C79" i="20"/>
  <c r="R75" i="20"/>
  <c r="F80" i="20"/>
  <c r="M78" i="20"/>
  <c r="C78" i="20"/>
  <c r="H77" i="20"/>
  <c r="BX23" i="20"/>
  <c r="G49" i="32" s="1"/>
  <c r="DR5" i="20"/>
  <c r="F59" i="32"/>
  <c r="DL8" i="20"/>
  <c r="O82" i="32"/>
  <c r="DQ8" i="20"/>
  <c r="E62" i="32"/>
  <c r="DO8" i="20"/>
  <c r="C62" i="32"/>
  <c r="P62" i="32"/>
  <c r="CU23" i="20"/>
  <c r="O49" i="32" s="1"/>
  <c r="DL7" i="20"/>
  <c r="O81" i="32"/>
  <c r="CS23" i="20"/>
  <c r="I28" i="32" s="1"/>
  <c r="DQ7" i="20"/>
  <c r="E61" i="32"/>
  <c r="CT23" i="20"/>
  <c r="K28" i="32" s="1"/>
  <c r="F49" i="32"/>
  <c r="D38" i="32"/>
  <c r="ED7" i="20"/>
  <c r="CA4" i="20"/>
  <c r="J34" i="32"/>
  <c r="S128" i="20"/>
  <c r="R77" i="20"/>
  <c r="K80" i="20"/>
  <c r="K76" i="20"/>
  <c r="K124" i="20"/>
  <c r="F44" i="20"/>
  <c r="G42" i="20"/>
  <c r="N42" i="20"/>
  <c r="T42" i="20"/>
  <c r="S87" i="20"/>
  <c r="M139" i="20"/>
  <c r="R93" i="20"/>
  <c r="R92" i="20"/>
  <c r="I140" i="20"/>
  <c r="H140" i="20"/>
  <c r="K139" i="20"/>
  <c r="L139" i="20"/>
  <c r="S139" i="20"/>
  <c r="H136" i="20"/>
  <c r="C136" i="20"/>
  <c r="H135" i="20"/>
  <c r="R74" i="20"/>
  <c r="ED6" i="20"/>
  <c r="ED9" i="20"/>
  <c r="ED10" i="20"/>
  <c r="CC23" i="20"/>
  <c r="L49" i="32" s="1"/>
  <c r="R138" i="20"/>
  <c r="DS10" i="20"/>
  <c r="G64" i="32"/>
  <c r="CA6" i="20"/>
  <c r="J36" i="32"/>
  <c r="EB23" i="20"/>
  <c r="EC23" i="20" s="1"/>
  <c r="N43" i="20"/>
  <c r="T43" i="20"/>
  <c r="G44" i="20"/>
  <c r="T44" i="20"/>
  <c r="N44" i="20"/>
  <c r="N92" i="20"/>
  <c r="G92" i="20"/>
  <c r="T92" i="20"/>
  <c r="R81" i="20"/>
  <c r="DL18" i="20"/>
  <c r="O92" i="32"/>
  <c r="ED22" i="20"/>
  <c r="EC22" i="20"/>
  <c r="ED17" i="20"/>
  <c r="EC17" i="20"/>
  <c r="J20" i="32"/>
  <c r="ED16" i="20"/>
  <c r="EC16" i="20"/>
  <c r="J19" i="32"/>
  <c r="ED15" i="20"/>
  <c r="EC15" i="20"/>
  <c r="J18" i="32"/>
  <c r="ED13" i="20"/>
  <c r="EC13" i="20"/>
  <c r="J16" i="32"/>
  <c r="ED21" i="20"/>
  <c r="EC21" i="20"/>
  <c r="ED20" i="20"/>
  <c r="EC20" i="20"/>
  <c r="ED19" i="20"/>
  <c r="EC19" i="20"/>
  <c r="ED18" i="20"/>
  <c r="EC18" i="20"/>
  <c r="J21" i="32"/>
  <c r="ED14" i="20"/>
  <c r="EC14" i="20"/>
  <c r="J17" i="32"/>
  <c r="ED12" i="20"/>
  <c r="EC12" i="20"/>
  <c r="J15" i="32"/>
  <c r="ED11" i="20"/>
  <c r="EC11" i="20"/>
  <c r="J14" i="32"/>
  <c r="ED4" i="20"/>
  <c r="ED5" i="20"/>
  <c r="EC8" i="20"/>
  <c r="J11" i="32"/>
  <c r="ED8" i="20"/>
  <c r="C141" i="20"/>
  <c r="M140" i="20"/>
  <c r="H139" i="20"/>
  <c r="C130" i="20"/>
  <c r="BR23" i="20"/>
  <c r="T140" i="20"/>
  <c r="N140" i="20"/>
  <c r="G141" i="20"/>
  <c r="U140" i="20"/>
  <c r="V140" i="20"/>
  <c r="N141" i="20"/>
  <c r="T141" i="20"/>
  <c r="U141" i="20"/>
  <c r="V141" i="20"/>
  <c r="R86" i="20"/>
  <c r="R85" i="20"/>
  <c r="K85" i="20"/>
  <c r="R137" i="20"/>
  <c r="K137" i="20"/>
  <c r="C137" i="20"/>
  <c r="F19" i="32"/>
  <c r="R135" i="20"/>
  <c r="F16" i="32"/>
  <c r="R132" i="20"/>
  <c r="K6" i="32"/>
  <c r="ED3" i="20"/>
  <c r="EA10" i="20"/>
  <c r="O64" i="32"/>
  <c r="S83" i="20"/>
  <c r="R88" i="20"/>
  <c r="H87" i="20"/>
  <c r="C87" i="20"/>
  <c r="S86" i="20"/>
  <c r="C85" i="20"/>
  <c r="S84" i="20"/>
  <c r="M84" i="20"/>
  <c r="R133" i="20"/>
  <c r="S82" i="20"/>
  <c r="F78" i="20"/>
  <c r="G78" i="20"/>
  <c r="M131" i="20"/>
  <c r="F131" i="20"/>
  <c r="R122" i="20"/>
  <c r="F128" i="20"/>
  <c r="F126" i="20"/>
  <c r="G126" i="20"/>
  <c r="F124" i="20"/>
  <c r="M134" i="20"/>
  <c r="C134" i="20"/>
  <c r="H133" i="20"/>
  <c r="C132" i="20"/>
  <c r="G132" i="20"/>
  <c r="K83" i="20"/>
  <c r="F83" i="20"/>
  <c r="C83" i="20"/>
  <c r="R76" i="20"/>
  <c r="F76" i="20"/>
  <c r="F74" i="20"/>
  <c r="C74" i="20"/>
  <c r="K130" i="20"/>
  <c r="F130" i="20"/>
  <c r="R129" i="20"/>
  <c r="F129" i="20"/>
  <c r="G129" i="20"/>
  <c r="F127" i="20"/>
  <c r="F123" i="20"/>
  <c r="F89" i="20"/>
  <c r="F77" i="20"/>
  <c r="F122" i="20"/>
  <c r="F88" i="20"/>
  <c r="F136" i="20"/>
  <c r="F81" i="20"/>
  <c r="E22" i="32"/>
  <c r="D22" i="32" s="1"/>
  <c r="BO23" i="20"/>
  <c r="EA9" i="20"/>
  <c r="O63" i="32"/>
  <c r="DY23" i="20"/>
  <c r="M73" i="32" s="1"/>
  <c r="M54" i="32" s="1"/>
  <c r="O88" i="32"/>
  <c r="O91" i="32"/>
  <c r="BQ23" i="20"/>
  <c r="EA15" i="20"/>
  <c r="O69" i="32"/>
  <c r="O89" i="32"/>
  <c r="E92" i="32"/>
  <c r="DQ18" i="20"/>
  <c r="E72" i="32"/>
  <c r="DR18" i="20"/>
  <c r="F72" i="32"/>
  <c r="F92" i="32"/>
  <c r="DT18" i="20"/>
  <c r="H72" i="32"/>
  <c r="H92" i="32"/>
  <c r="K92" i="32"/>
  <c r="DW18" i="20"/>
  <c r="K72" i="32"/>
  <c r="DX18" i="20"/>
  <c r="L72" i="32"/>
  <c r="L92" i="32"/>
  <c r="M92" i="32"/>
  <c r="DY18" i="20"/>
  <c r="M72" i="32"/>
  <c r="DQ17" i="20"/>
  <c r="E71" i="32"/>
  <c r="E91" i="32"/>
  <c r="DR17" i="20"/>
  <c r="F71" i="32"/>
  <c r="F91" i="32"/>
  <c r="DT17" i="20"/>
  <c r="H71" i="32"/>
  <c r="H91" i="32"/>
  <c r="DW17" i="20"/>
  <c r="K71" i="32"/>
  <c r="K91" i="32"/>
  <c r="DX17" i="20"/>
  <c r="L71" i="32"/>
  <c r="L91" i="32"/>
  <c r="DY17" i="20"/>
  <c r="M71" i="32"/>
  <c r="M91" i="32"/>
  <c r="E90" i="32"/>
  <c r="DQ16" i="20"/>
  <c r="E70" i="32"/>
  <c r="DR16" i="20"/>
  <c r="F70" i="32"/>
  <c r="F90" i="32"/>
  <c r="DT16" i="20"/>
  <c r="H70" i="32"/>
  <c r="H90" i="32"/>
  <c r="K90" i="32"/>
  <c r="DW16" i="20"/>
  <c r="K70" i="32"/>
  <c r="DX16" i="20"/>
  <c r="L70" i="32"/>
  <c r="L90" i="32"/>
  <c r="M90" i="32"/>
  <c r="DY16" i="20"/>
  <c r="M70" i="32"/>
  <c r="DQ15" i="20"/>
  <c r="E69" i="32"/>
  <c r="E89" i="32"/>
  <c r="DR15" i="20"/>
  <c r="F69" i="32"/>
  <c r="F89" i="32"/>
  <c r="DT15" i="20"/>
  <c r="H69" i="32"/>
  <c r="H89" i="32"/>
  <c r="DW15" i="20"/>
  <c r="K69" i="32"/>
  <c r="K89" i="32"/>
  <c r="DX15" i="20"/>
  <c r="L69" i="32"/>
  <c r="L89" i="32"/>
  <c r="DY15" i="20"/>
  <c r="M69" i="32"/>
  <c r="M89" i="32"/>
  <c r="E88" i="32"/>
  <c r="DQ14" i="20"/>
  <c r="E68" i="32"/>
  <c r="DR14" i="20"/>
  <c r="F68" i="32"/>
  <c r="F88" i="32"/>
  <c r="DT14" i="20"/>
  <c r="H68" i="32"/>
  <c r="H88" i="32"/>
  <c r="K88" i="32"/>
  <c r="DW14" i="20"/>
  <c r="K68" i="32"/>
  <c r="DX14" i="20"/>
  <c r="L68" i="32"/>
  <c r="L88" i="32"/>
  <c r="M88" i="32"/>
  <c r="DY14" i="20"/>
  <c r="M68" i="32"/>
  <c r="DQ13" i="20"/>
  <c r="E67" i="32"/>
  <c r="E87" i="32"/>
  <c r="DR13" i="20"/>
  <c r="F67" i="32"/>
  <c r="F87" i="32"/>
  <c r="DT13" i="20"/>
  <c r="H67" i="32"/>
  <c r="H87" i="32"/>
  <c r="DW13" i="20"/>
  <c r="K67" i="32"/>
  <c r="K87" i="32"/>
  <c r="DX13" i="20"/>
  <c r="L67" i="32"/>
  <c r="L87" i="32"/>
  <c r="DY13" i="20"/>
  <c r="M67" i="32"/>
  <c r="M87" i="32"/>
  <c r="E86" i="32"/>
  <c r="DQ12" i="20"/>
  <c r="E66" i="32"/>
  <c r="DR12" i="20"/>
  <c r="F66" i="32"/>
  <c r="F86" i="32"/>
  <c r="DT12" i="20"/>
  <c r="H66" i="32"/>
  <c r="H86" i="32"/>
  <c r="K86" i="32"/>
  <c r="DW12" i="20"/>
  <c r="K66" i="32"/>
  <c r="DX12" i="20"/>
  <c r="L66" i="32"/>
  <c r="L86" i="32"/>
  <c r="M86" i="32"/>
  <c r="DY12" i="20"/>
  <c r="M66" i="32"/>
  <c r="DQ11" i="20"/>
  <c r="E65" i="32"/>
  <c r="E85" i="32"/>
  <c r="DR11" i="20"/>
  <c r="F65" i="32"/>
  <c r="F85" i="32"/>
  <c r="DT11" i="20"/>
  <c r="H65" i="32"/>
  <c r="H85" i="32"/>
  <c r="DW11" i="20"/>
  <c r="K65" i="32"/>
  <c r="K85" i="32"/>
  <c r="DX11" i="20"/>
  <c r="L65" i="32"/>
  <c r="L85" i="32"/>
  <c r="DY11" i="20"/>
  <c r="M65" i="32"/>
  <c r="M85" i="32"/>
  <c r="E21" i="32"/>
  <c r="E19" i="32"/>
  <c r="E18" i="32"/>
  <c r="D18" i="32"/>
  <c r="E17" i="32"/>
  <c r="D17" i="32"/>
  <c r="E16" i="32"/>
  <c r="D16" i="32"/>
  <c r="E12" i="32"/>
  <c r="D12" i="32"/>
  <c r="E11" i="32"/>
  <c r="E10" i="32"/>
  <c r="D10" i="32"/>
  <c r="E9" i="32"/>
  <c r="D9" i="32"/>
  <c r="E8" i="32"/>
  <c r="E7" i="32"/>
  <c r="N6" i="32"/>
  <c r="N22" i="32"/>
  <c r="C92" i="32"/>
  <c r="DO18" i="20"/>
  <c r="C72" i="32"/>
  <c r="P72" i="32"/>
  <c r="DP18" i="20"/>
  <c r="D72" i="32"/>
  <c r="D92" i="32"/>
  <c r="G92" i="32"/>
  <c r="DS18" i="20"/>
  <c r="G72" i="32"/>
  <c r="I92" i="32"/>
  <c r="DU18" i="20"/>
  <c r="I72" i="32"/>
  <c r="DV18" i="20"/>
  <c r="J72" i="32"/>
  <c r="J92" i="32"/>
  <c r="DZ18" i="20"/>
  <c r="N72" i="32"/>
  <c r="N92" i="32"/>
  <c r="DO17" i="20"/>
  <c r="C71" i="32"/>
  <c r="P71" i="32"/>
  <c r="C91" i="32"/>
  <c r="DP17" i="20"/>
  <c r="D71" i="32"/>
  <c r="D91" i="32"/>
  <c r="DS17" i="20"/>
  <c r="G71" i="32"/>
  <c r="G91" i="32"/>
  <c r="DU17" i="20"/>
  <c r="I71" i="32"/>
  <c r="I91" i="32"/>
  <c r="DV17" i="20"/>
  <c r="J71" i="32"/>
  <c r="J91" i="32"/>
  <c r="DZ17" i="20"/>
  <c r="N71" i="32"/>
  <c r="N91" i="32"/>
  <c r="C90" i="32"/>
  <c r="DO16" i="20"/>
  <c r="C70" i="32"/>
  <c r="P70" i="32"/>
  <c r="DP16" i="20"/>
  <c r="D70" i="32"/>
  <c r="D90" i="32"/>
  <c r="G90" i="32"/>
  <c r="DS16" i="20"/>
  <c r="G70" i="32"/>
  <c r="I90" i="32"/>
  <c r="DU16" i="20"/>
  <c r="I70" i="32"/>
  <c r="DV16" i="20"/>
  <c r="J70" i="32"/>
  <c r="J90" i="32"/>
  <c r="DZ16" i="20"/>
  <c r="N70" i="32"/>
  <c r="N90" i="32"/>
  <c r="DO15" i="20"/>
  <c r="C69" i="32"/>
  <c r="P69" i="32"/>
  <c r="C89" i="32"/>
  <c r="DP15" i="20"/>
  <c r="D69" i="32"/>
  <c r="D89" i="32"/>
  <c r="DS15" i="20"/>
  <c r="G69" i="32"/>
  <c r="G89" i="32"/>
  <c r="DU15" i="20"/>
  <c r="I69" i="32"/>
  <c r="I89" i="32"/>
  <c r="DV15" i="20"/>
  <c r="J69" i="32"/>
  <c r="J89" i="32"/>
  <c r="DZ15" i="20"/>
  <c r="N69" i="32"/>
  <c r="N89" i="32"/>
  <c r="C88" i="32"/>
  <c r="DO14" i="20"/>
  <c r="C68" i="32"/>
  <c r="P68" i="32"/>
  <c r="DP14" i="20"/>
  <c r="D68" i="32"/>
  <c r="D88" i="32"/>
  <c r="G88" i="32"/>
  <c r="DS14" i="20"/>
  <c r="G68" i="32"/>
  <c r="I88" i="32"/>
  <c r="DU14" i="20"/>
  <c r="I68" i="32"/>
  <c r="DV14" i="20"/>
  <c r="J68" i="32"/>
  <c r="J88" i="32"/>
  <c r="DZ14" i="20"/>
  <c r="N68" i="32"/>
  <c r="N88" i="32"/>
  <c r="DO13" i="20"/>
  <c r="C67" i="32"/>
  <c r="P67" i="32"/>
  <c r="C87" i="32"/>
  <c r="DP13" i="20"/>
  <c r="D67" i="32"/>
  <c r="D87" i="32"/>
  <c r="DS13" i="20"/>
  <c r="G67" i="32"/>
  <c r="G87" i="32"/>
  <c r="DU13" i="20"/>
  <c r="I67" i="32"/>
  <c r="I87" i="32"/>
  <c r="DV13" i="20"/>
  <c r="J67" i="32"/>
  <c r="J87" i="32"/>
  <c r="DZ13" i="20"/>
  <c r="N67" i="32"/>
  <c r="N87" i="32"/>
  <c r="C86" i="32"/>
  <c r="DO12" i="20"/>
  <c r="C66" i="32"/>
  <c r="P66" i="32"/>
  <c r="DP12" i="20"/>
  <c r="D66" i="32"/>
  <c r="D86" i="32"/>
  <c r="G86" i="32"/>
  <c r="DS12" i="20"/>
  <c r="G66" i="32"/>
  <c r="I86" i="32"/>
  <c r="DU12" i="20"/>
  <c r="I66" i="32"/>
  <c r="DV12" i="20"/>
  <c r="J66" i="32"/>
  <c r="J86" i="32"/>
  <c r="DZ12" i="20"/>
  <c r="N66" i="32"/>
  <c r="N86" i="32"/>
  <c r="DO11" i="20"/>
  <c r="C65" i="32"/>
  <c r="C85" i="32"/>
  <c r="DP11" i="20"/>
  <c r="D65" i="32"/>
  <c r="D85" i="32"/>
  <c r="DS11" i="20"/>
  <c r="G65" i="32"/>
  <c r="G85" i="32"/>
  <c r="DU11" i="20"/>
  <c r="I65" i="32"/>
  <c r="I85" i="32"/>
  <c r="DV11" i="20"/>
  <c r="J65" i="32"/>
  <c r="J85" i="32"/>
  <c r="DZ11" i="20"/>
  <c r="N65" i="32"/>
  <c r="N85" i="32"/>
  <c r="E20" i="32"/>
  <c r="D20" i="32"/>
  <c r="E15" i="32"/>
  <c r="D15" i="32"/>
  <c r="E14" i="32"/>
  <c r="DU6" i="20"/>
  <c r="I60" i="32"/>
  <c r="E6" i="32"/>
  <c r="D6" i="32"/>
  <c r="E13" i="32"/>
  <c r="D13" i="32"/>
  <c r="D47" i="32"/>
  <c r="CA11" i="20"/>
  <c r="J41" i="32"/>
  <c r="G76" i="20"/>
  <c r="N76" i="20"/>
  <c r="F86" i="20"/>
  <c r="G36" i="20"/>
  <c r="N36" i="20"/>
  <c r="G28" i="20"/>
  <c r="N28" i="20"/>
  <c r="EA8" i="20"/>
  <c r="O62" i="32"/>
  <c r="CA23" i="20"/>
  <c r="J49" i="32" s="1"/>
  <c r="C86" i="20"/>
  <c r="G86" i="20"/>
  <c r="K78" i="20"/>
  <c r="N78" i="20"/>
  <c r="T78" i="20"/>
  <c r="H131" i="20"/>
  <c r="I131" i="20"/>
  <c r="R130" i="20"/>
  <c r="N80" i="20"/>
  <c r="G122" i="20"/>
  <c r="N122" i="20"/>
  <c r="F133" i="20"/>
  <c r="BT23" i="20"/>
  <c r="D49" i="32" s="1"/>
  <c r="O86" i="32"/>
  <c r="G82" i="20"/>
  <c r="CD23" i="20"/>
  <c r="M49" i="32" s="1"/>
  <c r="R87" i="20"/>
  <c r="S85" i="20"/>
  <c r="N93" i="32"/>
  <c r="N75" i="32"/>
  <c r="O90" i="32"/>
  <c r="EA6" i="20"/>
  <c r="O60" i="32"/>
  <c r="EA13" i="20"/>
  <c r="O67" i="32"/>
  <c r="N81" i="20"/>
  <c r="T81" i="20"/>
  <c r="N82" i="20"/>
  <c r="H88" i="20"/>
  <c r="G77" i="20"/>
  <c r="H90" i="20"/>
  <c r="F90" i="20"/>
  <c r="C89" i="20"/>
  <c r="G138" i="20"/>
  <c r="N138" i="20"/>
  <c r="F125" i="20"/>
  <c r="F79" i="20"/>
  <c r="F29" i="20"/>
  <c r="F41" i="20"/>
  <c r="N41" i="20"/>
  <c r="F39" i="20"/>
  <c r="N39" i="20"/>
  <c r="G39" i="20"/>
  <c r="F38" i="20"/>
  <c r="G38" i="20"/>
  <c r="M88" i="20"/>
  <c r="C88" i="20"/>
  <c r="F85" i="20"/>
  <c r="G85" i="20"/>
  <c r="N85" i="20"/>
  <c r="R89" i="20"/>
  <c r="S89" i="20"/>
  <c r="H128" i="20"/>
  <c r="O78" i="32"/>
  <c r="EA4" i="20"/>
  <c r="O58" i="32"/>
  <c r="O77" i="32"/>
  <c r="EA3" i="20"/>
  <c r="O57" i="32"/>
  <c r="G26" i="20"/>
  <c r="N26" i="20"/>
  <c r="T26" i="20"/>
  <c r="F84" i="20"/>
  <c r="G84" i="20"/>
  <c r="N84" i="20"/>
  <c r="M93" i="32"/>
  <c r="M75" i="32"/>
  <c r="K93" i="32"/>
  <c r="G137" i="20"/>
  <c r="I22" i="32"/>
  <c r="ED23" i="20"/>
  <c r="EF23" i="20" s="1"/>
  <c r="EA11" i="20"/>
  <c r="O65" i="32"/>
  <c r="O85" i="32"/>
  <c r="O79" i="32"/>
  <c r="EA5" i="20"/>
  <c r="O59" i="32"/>
  <c r="P59" i="32"/>
  <c r="G136" i="20"/>
  <c r="N136" i="20"/>
  <c r="T136" i="20"/>
  <c r="F31" i="20"/>
  <c r="G31" i="20"/>
  <c r="N31" i="20"/>
  <c r="G40" i="20"/>
  <c r="N40" i="20"/>
  <c r="T40" i="20"/>
  <c r="N37" i="20"/>
  <c r="T37" i="20"/>
  <c r="F87" i="20"/>
  <c r="N87" i="20"/>
  <c r="P89" i="32"/>
  <c r="G74" i="20"/>
  <c r="G83" i="20"/>
  <c r="N83" i="20"/>
  <c r="T83" i="20"/>
  <c r="G130" i="20"/>
  <c r="N130" i="20"/>
  <c r="H86" i="20"/>
  <c r="H89" i="20"/>
  <c r="F27" i="20"/>
  <c r="G27" i="20"/>
  <c r="N27" i="20"/>
  <c r="R84" i="20"/>
  <c r="M87" i="20"/>
  <c r="M86" i="20"/>
  <c r="M89" i="20"/>
  <c r="N74" i="20"/>
  <c r="T74" i="20"/>
  <c r="G79" i="20"/>
  <c r="T79" i="20"/>
  <c r="N137" i="20"/>
  <c r="T137" i="20"/>
  <c r="G133" i="20"/>
  <c r="N133" i="20"/>
  <c r="G29" i="20"/>
  <c r="N29" i="20"/>
  <c r="F33" i="20"/>
  <c r="T76" i="20"/>
  <c r="T75" i="20"/>
  <c r="T80" i="20"/>
  <c r="G41" i="20"/>
  <c r="T82" i="20"/>
  <c r="G89" i="20"/>
  <c r="N89" i="20"/>
  <c r="T89" i="20"/>
  <c r="N77" i="20"/>
  <c r="T138" i="20"/>
  <c r="G87" i="20"/>
  <c r="G33" i="20"/>
  <c r="N75" i="20"/>
  <c r="N79" i="20"/>
  <c r="V138" i="20"/>
  <c r="U138" i="20"/>
  <c r="N88" i="20"/>
  <c r="T88" i="20"/>
  <c r="T77" i="20"/>
  <c r="P64" i="32"/>
  <c r="N86" i="20"/>
  <c r="T86" i="20"/>
  <c r="P65" i="32"/>
  <c r="P86" i="32"/>
  <c r="P88" i="32"/>
  <c r="P90" i="32"/>
  <c r="G35" i="20"/>
  <c r="N35" i="20"/>
  <c r="G30" i="20"/>
  <c r="T85" i="20"/>
  <c r="T84" i="20"/>
  <c r="T87" i="20"/>
  <c r="T27" i="20"/>
  <c r="P85" i="32"/>
  <c r="T36" i="20"/>
  <c r="G32" i="20"/>
  <c r="N32" i="20"/>
  <c r="T32" i="20"/>
  <c r="F135" i="20"/>
  <c r="P91" i="32"/>
  <c r="P87" i="32"/>
  <c r="G135" i="20"/>
  <c r="N30" i="20"/>
  <c r="F93" i="32"/>
  <c r="G93" i="32"/>
  <c r="C93" i="32"/>
  <c r="C75" i="32"/>
  <c r="H93" i="32"/>
  <c r="D93" i="32"/>
  <c r="E93" i="32"/>
  <c r="P77" i="32"/>
  <c r="S112" i="32"/>
  <c r="P81" i="32"/>
  <c r="P83" i="32"/>
  <c r="P79" i="32"/>
  <c r="EA7" i="20"/>
  <c r="O61" i="32"/>
  <c r="I93" i="32"/>
  <c r="EA18" i="20"/>
  <c r="O72" i="32"/>
  <c r="N131" i="20"/>
  <c r="CA18" i="20"/>
  <c r="J48" i="32"/>
  <c r="CA17" i="20"/>
  <c r="J47" i="32"/>
  <c r="CA16" i="20"/>
  <c r="J46" i="32"/>
  <c r="CA15" i="20"/>
  <c r="J45" i="32"/>
  <c r="T30" i="20"/>
  <c r="J93" i="32"/>
  <c r="I75" i="32"/>
  <c r="P78" i="32"/>
  <c r="N135" i="20"/>
  <c r="T135" i="20"/>
  <c r="T134" i="20"/>
  <c r="G134" i="20"/>
  <c r="N134" i="20"/>
  <c r="G127" i="20"/>
  <c r="N127" i="20"/>
  <c r="G125" i="20"/>
  <c r="N125" i="20"/>
  <c r="T125" i="20"/>
  <c r="G124" i="20"/>
  <c r="G123" i="20"/>
  <c r="N123" i="20"/>
  <c r="P84" i="32"/>
  <c r="T122" i="20"/>
  <c r="T130" i="20"/>
  <c r="T31" i="20"/>
  <c r="N38" i="20"/>
  <c r="T38" i="20"/>
  <c r="P92" i="32"/>
  <c r="P82" i="32"/>
  <c r="H84" i="20"/>
  <c r="T133" i="20"/>
  <c r="C17" i="32"/>
  <c r="O93" i="32"/>
  <c r="O75" i="32"/>
  <c r="P80" i="32"/>
  <c r="V137" i="20"/>
  <c r="U137" i="20"/>
  <c r="C21" i="32"/>
  <c r="S109" i="32"/>
  <c r="S104" i="32"/>
  <c r="S102" i="32"/>
  <c r="S105" i="32"/>
  <c r="S108" i="32"/>
  <c r="C20" i="32"/>
  <c r="V136" i="20"/>
  <c r="U136" i="20"/>
  <c r="N129" i="20"/>
  <c r="T129" i="20"/>
  <c r="V133" i="20"/>
  <c r="P93" i="32"/>
  <c r="N132" i="20"/>
  <c r="T132" i="20"/>
  <c r="T35" i="20"/>
  <c r="T29" i="20"/>
  <c r="T131" i="20"/>
  <c r="N33" i="20"/>
  <c r="T33" i="20"/>
  <c r="T39" i="20"/>
  <c r="T41" i="20"/>
  <c r="T28" i="20"/>
  <c r="N126" i="20"/>
  <c r="T126" i="20"/>
  <c r="S101" i="32"/>
  <c r="N128" i="20"/>
  <c r="T128" i="20"/>
  <c r="I85" i="20"/>
  <c r="U133" i="20"/>
  <c r="P75" i="32"/>
  <c r="S113" i="32"/>
  <c r="S106" i="32"/>
  <c r="S107" i="32"/>
  <c r="S110" i="32"/>
  <c r="S111" i="32"/>
  <c r="V135" i="20"/>
  <c r="C19" i="32"/>
  <c r="U135" i="20"/>
  <c r="U130" i="20"/>
  <c r="C14" i="32"/>
  <c r="V130" i="20"/>
  <c r="S103" i="32"/>
  <c r="S114" i="32"/>
  <c r="S115" i="32"/>
  <c r="S116" i="32"/>
  <c r="U122" i="20"/>
  <c r="C6" i="32"/>
  <c r="V122" i="20"/>
  <c r="N124" i="20"/>
  <c r="T127" i="20"/>
  <c r="T123" i="20"/>
  <c r="U125" i="20"/>
  <c r="V125" i="20"/>
  <c r="C9" i="32"/>
  <c r="C18" i="32"/>
  <c r="U134" i="20"/>
  <c r="V134" i="20"/>
  <c r="U128" i="20"/>
  <c r="V128" i="20"/>
  <c r="C12" i="32"/>
  <c r="C10" i="32"/>
  <c r="V126" i="20"/>
  <c r="U126" i="20"/>
  <c r="C15" i="32"/>
  <c r="U131" i="20"/>
  <c r="V131" i="20"/>
  <c r="C16" i="32"/>
  <c r="V132" i="20"/>
  <c r="U132" i="20"/>
  <c r="C13" i="32"/>
  <c r="U129" i="20"/>
  <c r="V129" i="20"/>
  <c r="V123" i="20"/>
  <c r="C7" i="32"/>
  <c r="U123" i="20"/>
  <c r="T124" i="20"/>
  <c r="C11" i="32"/>
  <c r="U127" i="20"/>
  <c r="V127" i="20"/>
  <c r="U124" i="20"/>
  <c r="C8" i="32"/>
  <c r="C22" i="32"/>
  <c r="V124" i="20"/>
  <c r="DP23" i="20" l="1"/>
  <c r="D73" i="32" s="1"/>
  <c r="DZ23" i="20"/>
  <c r="N73" i="32" s="1"/>
  <c r="N54" i="32" s="1"/>
  <c r="DV23" i="20"/>
  <c r="J73" i="32" s="1"/>
  <c r="DQ23" i="20"/>
  <c r="E73" i="32" s="1"/>
  <c r="DL23" i="20"/>
  <c r="EA23" i="20" s="1"/>
  <c r="O73" i="32" s="1"/>
  <c r="O54" i="32" s="1"/>
  <c r="DT23" i="20"/>
  <c r="H73" i="32" s="1"/>
  <c r="DO23" i="20"/>
  <c r="C73" i="32" s="1"/>
  <c r="DS23" i="20"/>
  <c r="G73" i="32" s="1"/>
  <c r="DW23" i="20"/>
  <c r="K73" i="32" s="1"/>
  <c r="DR23" i="20"/>
  <c r="F73" i="32" s="1"/>
  <c r="G91" i="20"/>
  <c r="DX23" i="20"/>
  <c r="L73" i="32" s="1"/>
  <c r="J22" i="32"/>
  <c r="EE23" i="20"/>
  <c r="M6" i="32" s="1"/>
  <c r="P73" i="32"/>
  <c r="C54" i="32"/>
  <c r="P54" i="32" s="1"/>
  <c r="F139" i="20"/>
  <c r="G139" i="20" l="1"/>
  <c r="T139" i="20" l="1"/>
  <c r="N139" i="20"/>
  <c r="U139" i="20" l="1"/>
  <c r="V139" i="20"/>
  <c r="E50" i="30"/>
  <c r="Q22" i="30"/>
  <c r="F45" i="30"/>
  <c r="M37" i="30"/>
  <c r="O24" i="30"/>
  <c r="M49" i="30"/>
  <c r="G38" i="30"/>
  <c r="D53" i="30"/>
  <c r="P41" i="30"/>
  <c r="S37" i="30"/>
  <c r="V46" i="30"/>
  <c r="O38" i="30"/>
  <c r="G20" i="30"/>
  <c r="M40" i="30"/>
  <c r="L48" i="30"/>
  <c r="F29" i="30"/>
  <c r="F41" i="30"/>
  <c r="I22" i="30"/>
  <c r="G47" i="30"/>
  <c r="G46" i="30"/>
  <c r="F43" i="30"/>
  <c r="Y28" i="30"/>
  <c r="H30" i="30"/>
  <c r="G19" i="30"/>
  <c r="E21" i="30"/>
  <c r="L52" i="30"/>
  <c r="R17" i="30"/>
  <c r="O42" i="30"/>
  <c r="G42" i="30"/>
  <c r="V21" i="30"/>
  <c r="Q51" i="30"/>
  <c r="U19" i="30"/>
  <c r="T52" i="30"/>
  <c r="E53" i="30"/>
  <c r="D42" i="30"/>
  <c r="F55" i="30"/>
  <c r="U37" i="30"/>
  <c r="F25" i="30"/>
  <c r="D17" i="30"/>
  <c r="T22" i="30"/>
  <c r="U25" i="30"/>
  <c r="V52" i="30"/>
  <c r="R27" i="30"/>
  <c r="T45" i="30"/>
  <c r="I45" i="30"/>
  <c r="U20" i="30"/>
  <c r="O22" i="30"/>
  <c r="R49" i="30"/>
  <c r="J52" i="30"/>
  <c r="D54" i="30"/>
  <c r="R48" i="30"/>
  <c r="I46" i="30"/>
  <c r="E41" i="30"/>
  <c r="U31" i="30"/>
  <c r="P39" i="30"/>
  <c r="Q30" i="30"/>
  <c r="I48" i="30"/>
  <c r="J22" i="30"/>
  <c r="K42" i="30"/>
  <c r="R23" i="30"/>
  <c r="I30" i="30"/>
  <c r="V42" i="30"/>
  <c r="O16" i="30"/>
  <c r="K56" i="30"/>
  <c r="H29" i="30"/>
  <c r="O37" i="30"/>
  <c r="F16" i="30"/>
  <c r="L55" i="30"/>
  <c r="I52" i="30"/>
  <c r="E45" i="30"/>
  <c r="N53" i="30"/>
  <c r="V23" i="30"/>
  <c r="G40" i="30"/>
  <c r="U18" i="30"/>
  <c r="F26" i="30"/>
  <c r="R16" i="30"/>
  <c r="N17" i="30"/>
  <c r="I55" i="30"/>
  <c r="J26" i="30"/>
  <c r="U56" i="30"/>
  <c r="K19" i="30"/>
  <c r="F19" i="30"/>
  <c r="R51" i="30"/>
  <c r="S53" i="30"/>
  <c r="Q27" i="30"/>
  <c r="G17" i="30"/>
  <c r="Q52" i="30"/>
  <c r="T51" i="30"/>
  <c r="R22" i="30"/>
  <c r="R39" i="30"/>
  <c r="T31" i="30"/>
  <c r="Q17" i="30"/>
  <c r="O44" i="30"/>
  <c r="M20" i="30"/>
  <c r="E18" i="30"/>
  <c r="M19" i="30"/>
  <c r="V45" i="30"/>
  <c r="K55" i="30"/>
  <c r="U42" i="30"/>
  <c r="O41" i="30"/>
  <c r="M28" i="30"/>
  <c r="O29" i="30"/>
  <c r="J24" i="30"/>
  <c r="J40" i="30"/>
  <c r="J29" i="30"/>
  <c r="I27" i="30"/>
  <c r="H46" i="30"/>
  <c r="F46" i="30"/>
  <c r="R44" i="30"/>
  <c r="J23" i="30"/>
  <c r="G37" i="30"/>
  <c r="F52" i="30"/>
  <c r="G55" i="30"/>
  <c r="T23" i="30"/>
  <c r="O21" i="30"/>
  <c r="D55" i="30"/>
  <c r="L31" i="30"/>
  <c r="J19" i="30"/>
  <c r="P24" i="30"/>
  <c r="Q50" i="30"/>
  <c r="M55" i="30"/>
  <c r="T40" i="30"/>
  <c r="L22" i="30"/>
  <c r="M24" i="30"/>
  <c r="N41" i="30"/>
  <c r="V26" i="30"/>
  <c r="U28" i="30"/>
  <c r="K16" i="30"/>
  <c r="N21" i="30"/>
  <c r="Q38" i="30"/>
  <c r="R47" i="30"/>
  <c r="N49" i="30"/>
  <c r="I25" i="30"/>
  <c r="Q46" i="30"/>
  <c r="E37" i="30"/>
  <c r="U30" i="30"/>
  <c r="F28" i="30"/>
  <c r="S25" i="30"/>
  <c r="D40" i="30"/>
  <c r="Y29" i="30"/>
  <c r="I40" i="30"/>
  <c r="P42" i="30"/>
  <c r="J30" i="30"/>
  <c r="E24" i="30"/>
  <c r="K52" i="30"/>
  <c r="Q39" i="30"/>
  <c r="G28" i="30"/>
  <c r="J39" i="30"/>
  <c r="H54" i="30"/>
  <c r="S47" i="30"/>
  <c r="M41" i="30"/>
  <c r="R20" i="30"/>
  <c r="H47" i="30"/>
  <c r="O48" i="30"/>
  <c r="E29" i="30"/>
  <c r="U43" i="30"/>
  <c r="G25" i="30"/>
  <c r="T28" i="30"/>
  <c r="U55" i="30"/>
  <c r="G44" i="30"/>
  <c r="L30" i="30"/>
  <c r="O17" i="30"/>
  <c r="M27" i="30"/>
  <c r="K51" i="30"/>
  <c r="N56" i="30"/>
  <c r="D41" i="30"/>
  <c r="Q18" i="30"/>
  <c r="L44" i="30"/>
  <c r="H22" i="30"/>
  <c r="I50" i="30"/>
  <c r="H26" i="30"/>
  <c r="E38" i="30"/>
  <c r="M47" i="30"/>
  <c r="R56" i="30"/>
  <c r="K22" i="30"/>
  <c r="J43" i="30"/>
  <c r="K57" i="30"/>
  <c r="E27" i="30"/>
  <c r="J20" i="30"/>
  <c r="S19" i="30"/>
  <c r="H31" i="30"/>
  <c r="D37" i="30"/>
  <c r="O28" i="30"/>
  <c r="S28" i="30"/>
  <c r="N37" i="30"/>
  <c r="R24" i="30"/>
  <c r="Q53" i="30"/>
  <c r="Q49" i="30"/>
  <c r="F44" i="30"/>
  <c r="U16" i="30"/>
  <c r="N51" i="30"/>
  <c r="I18" i="30"/>
  <c r="P38" i="30"/>
  <c r="E25" i="30"/>
  <c r="R31" i="30"/>
  <c r="L37" i="30"/>
  <c r="V30" i="30"/>
  <c r="G51" i="30"/>
  <c r="V49" i="30"/>
  <c r="K41" i="30"/>
  <c r="V20" i="30"/>
  <c r="N30" i="30"/>
  <c r="F42" i="30"/>
  <c r="U45" i="30"/>
  <c r="R57" i="30"/>
  <c r="S17" i="30"/>
  <c r="J17" i="30"/>
  <c r="G52" i="30"/>
  <c r="Y25" i="30"/>
  <c r="M23" i="30"/>
  <c r="P47" i="30"/>
  <c r="J18" i="30"/>
  <c r="R37" i="30"/>
  <c r="J16" i="30"/>
  <c r="E55" i="30"/>
  <c r="H16" i="30"/>
  <c r="M22" i="30"/>
  <c r="F18" i="30"/>
  <c r="H28" i="30"/>
  <c r="J57" i="30"/>
  <c r="E57" i="30"/>
  <c r="K29" i="30"/>
  <c r="H55" i="30"/>
  <c r="D56" i="30"/>
  <c r="P46" i="30"/>
  <c r="G49" i="30"/>
  <c r="P43" i="30"/>
  <c r="P16" i="30"/>
  <c r="Q47" i="30"/>
  <c r="D27" i="30"/>
  <c r="G39" i="30"/>
  <c r="O30" i="30"/>
  <c r="T38" i="30"/>
  <c r="T26" i="30"/>
  <c r="H27" i="30"/>
  <c r="S21" i="30"/>
  <c r="Q48" i="30"/>
  <c r="M39" i="30"/>
  <c r="Q44" i="30"/>
  <c r="Y21" i="30"/>
  <c r="F22" i="30"/>
  <c r="D44" i="30"/>
  <c r="V18" i="30"/>
  <c r="S46" i="30"/>
  <c r="S52" i="30"/>
  <c r="L42" i="30"/>
  <c r="O55" i="30"/>
  <c r="J50" i="30"/>
  <c r="G53" i="30"/>
  <c r="V54" i="30"/>
  <c r="V40" i="30"/>
  <c r="Q40" i="30"/>
  <c r="V56" i="30"/>
  <c r="G30" i="30"/>
  <c r="N46" i="30"/>
  <c r="O20" i="30"/>
  <c r="F51" i="30"/>
  <c r="K38" i="30"/>
  <c r="D25" i="30"/>
  <c r="O39" i="30"/>
  <c r="O40" i="30"/>
  <c r="U44" i="30"/>
  <c r="V25" i="30"/>
  <c r="O18" i="30"/>
  <c r="N24" i="30"/>
  <c r="U27" i="30"/>
  <c r="Y22" i="30"/>
  <c r="M18" i="30"/>
  <c r="R29" i="30"/>
  <c r="M30" i="30"/>
  <c r="N26" i="30"/>
  <c r="S23" i="30"/>
  <c r="Q29" i="30"/>
  <c r="J38" i="30"/>
  <c r="U39" i="30"/>
  <c r="M52" i="30"/>
  <c r="N45" i="30"/>
  <c r="M16" i="30"/>
  <c r="Y31" i="30"/>
  <c r="L19" i="30"/>
  <c r="I38" i="30"/>
  <c r="T21" i="30"/>
  <c r="P27" i="30"/>
  <c r="Q21" i="30"/>
  <c r="K31" i="30"/>
  <c r="U47" i="30"/>
  <c r="I44" i="30"/>
  <c r="D45" i="30"/>
  <c r="T48" i="30"/>
  <c r="G31" i="30"/>
  <c r="R53" i="30"/>
  <c r="F47" i="30"/>
  <c r="U50" i="30"/>
  <c r="E43" i="30"/>
  <c r="L29" i="30"/>
  <c r="N29" i="30"/>
  <c r="H45" i="30"/>
  <c r="O47" i="30"/>
  <c r="I51" i="30"/>
  <c r="L43" i="30"/>
  <c r="U53" i="30"/>
  <c r="K54" i="30"/>
  <c r="O46" i="30"/>
  <c r="I54" i="30"/>
  <c r="Q43" i="30"/>
  <c r="R42" i="30"/>
  <c r="T17" i="30"/>
  <c r="K46" i="30"/>
  <c r="V43" i="30"/>
  <c r="M56" i="30"/>
  <c r="G16" i="30"/>
  <c r="Y19" i="30"/>
  <c r="J48" i="30"/>
  <c r="U23" i="30"/>
  <c r="R40" i="30"/>
  <c r="E39" i="30"/>
  <c r="I21" i="30"/>
  <c r="K45" i="30"/>
  <c r="Y20" i="30"/>
  <c r="E40" i="30"/>
  <c r="N18" i="30"/>
  <c r="I24" i="30"/>
  <c r="J42" i="30"/>
  <c r="S31" i="30"/>
  <c r="F54" i="30"/>
  <c r="N48" i="30"/>
  <c r="E31" i="30"/>
  <c r="S42" i="30"/>
  <c r="P52" i="30"/>
  <c r="I43" i="30"/>
  <c r="F24" i="30"/>
  <c r="D51" i="30"/>
  <c r="V16" i="30"/>
  <c r="D43" i="30"/>
  <c r="N52" i="30"/>
  <c r="V51" i="30"/>
  <c r="O52" i="30"/>
  <c r="N44" i="30"/>
  <c r="H17" i="30"/>
  <c r="Q41" i="30"/>
  <c r="K23" i="30"/>
  <c r="Q24" i="30"/>
  <c r="P40" i="30"/>
  <c r="Q55" i="30"/>
  <c r="F21" i="30"/>
  <c r="N43" i="30"/>
  <c r="K30" i="30"/>
  <c r="K48" i="30"/>
  <c r="U17" i="30"/>
  <c r="L54" i="30"/>
  <c r="R45" i="30"/>
  <c r="T29" i="30"/>
  <c r="P30" i="30"/>
  <c r="T46" i="30"/>
  <c r="L24" i="30"/>
  <c r="K17" i="30"/>
  <c r="P51" i="30"/>
  <c r="U52" i="30"/>
  <c r="L46" i="30"/>
  <c r="K21" i="30"/>
  <c r="E48" i="30"/>
  <c r="N42" i="30"/>
  <c r="H48" i="30"/>
  <c r="P57" i="30"/>
  <c r="H50" i="30"/>
  <c r="J53" i="30"/>
  <c r="S54" i="30"/>
  <c r="P53" i="30"/>
  <c r="V38" i="30"/>
  <c r="D52" i="30"/>
  <c r="O53" i="30"/>
  <c r="V57" i="30"/>
  <c r="K43" i="30"/>
  <c r="H38" i="30"/>
  <c r="U48" i="30"/>
  <c r="T53" i="30"/>
  <c r="F23" i="30"/>
  <c r="F49" i="30"/>
  <c r="H37" i="30"/>
  <c r="K18" i="30"/>
  <c r="J56" i="30"/>
  <c r="S27" i="30"/>
  <c r="S30" i="30"/>
  <c r="Q56" i="30"/>
  <c r="R21" i="30"/>
  <c r="N50" i="30"/>
  <c r="Q45" i="30"/>
  <c r="Y30" i="30"/>
  <c r="Q23" i="30"/>
  <c r="G43" i="30"/>
  <c r="S55" i="30"/>
  <c r="I57" i="30"/>
  <c r="O27" i="30"/>
  <c r="M54" i="30"/>
  <c r="J31" i="30"/>
  <c r="N47" i="30"/>
  <c r="Y17" i="30"/>
  <c r="Q54" i="30"/>
  <c r="M42" i="30"/>
  <c r="N40" i="30"/>
  <c r="M25" i="30"/>
  <c r="D19" i="30"/>
  <c r="I26" i="30"/>
  <c r="S48" i="30"/>
  <c r="E19" i="30"/>
  <c r="O26" i="30"/>
  <c r="F48" i="30"/>
  <c r="J37" i="30"/>
  <c r="J46" i="30"/>
  <c r="Y24" i="30"/>
  <c r="I42" i="30"/>
  <c r="J25" i="30"/>
  <c r="M51" i="30"/>
  <c r="N28" i="30"/>
  <c r="Q25" i="30"/>
  <c r="M46" i="30"/>
  <c r="K26" i="30"/>
  <c r="E42" i="30"/>
  <c r="R30" i="30"/>
  <c r="G50" i="30"/>
  <c r="U22" i="30"/>
  <c r="L53" i="30"/>
  <c r="O50" i="30"/>
  <c r="G56" i="30"/>
  <c r="I49" i="30"/>
  <c r="R19" i="30"/>
  <c r="O25" i="30"/>
  <c r="U26" i="30"/>
  <c r="G57" i="30"/>
  <c r="I37" i="30"/>
  <c r="E20" i="30"/>
  <c r="M21" i="30"/>
  <c r="O49" i="30"/>
  <c r="K40" i="30"/>
  <c r="J47" i="30"/>
  <c r="V37" i="30"/>
  <c r="D18" i="30"/>
  <c r="D20" i="30"/>
  <c r="V44" i="30"/>
  <c r="M29" i="30"/>
  <c r="P37" i="30"/>
  <c r="T27" i="30"/>
  <c r="U54" i="30"/>
  <c r="F50" i="30"/>
  <c r="Q19" i="30"/>
  <c r="D48" i="30"/>
  <c r="L49" i="30"/>
  <c r="F30" i="30"/>
  <c r="E23" i="30"/>
  <c r="T54" i="30"/>
  <c r="L26" i="30"/>
  <c r="P18" i="30"/>
  <c r="S56" i="30"/>
  <c r="R52" i="30"/>
  <c r="I41" i="30"/>
  <c r="I28" i="30"/>
  <c r="D47" i="30"/>
  <c r="J55" i="30"/>
  <c r="T50" i="30"/>
  <c r="V24" i="30"/>
  <c r="S45" i="30"/>
  <c r="M44" i="30"/>
  <c r="D31" i="30"/>
  <c r="G48" i="30"/>
  <c r="J49" i="30"/>
  <c r="H18" i="30"/>
  <c r="D30" i="30"/>
  <c r="G54" i="30"/>
  <c r="H21" i="30"/>
  <c r="G21" i="30"/>
  <c r="I29" i="30"/>
  <c r="G27" i="30"/>
  <c r="M57" i="30"/>
  <c r="F56" i="30"/>
  <c r="M38" i="30"/>
  <c r="H20" i="30"/>
  <c r="V55" i="30"/>
  <c r="P56" i="30"/>
  <c r="V22" i="30"/>
  <c r="S43" i="30"/>
  <c r="V27" i="30"/>
  <c r="N57" i="30"/>
  <c r="L28" i="30"/>
  <c r="Q57" i="30"/>
  <c r="U38" i="30"/>
  <c r="F53" i="30"/>
  <c r="K28" i="30"/>
  <c r="N31" i="30"/>
  <c r="F40" i="30"/>
  <c r="V47" i="30"/>
  <c r="I47" i="30"/>
  <c r="D50" i="30"/>
  <c r="E22" i="30"/>
  <c r="V31" i="30"/>
  <c r="V41" i="30"/>
  <c r="P19" i="30"/>
  <c r="H49" i="30"/>
  <c r="D21" i="30"/>
  <c r="P20" i="30"/>
  <c r="T56" i="30"/>
  <c r="Y23" i="30"/>
  <c r="K39" i="30"/>
  <c r="H44" i="30"/>
  <c r="D23" i="30"/>
  <c r="K44" i="30"/>
  <c r="T18" i="30"/>
  <c r="L27" i="30"/>
  <c r="P50" i="30"/>
  <c r="T57" i="30"/>
  <c r="I19" i="30"/>
  <c r="S41" i="30"/>
  <c r="H40" i="30"/>
  <c r="F38" i="30"/>
  <c r="S26" i="30"/>
  <c r="E56" i="30"/>
  <c r="F17" i="30"/>
  <c r="F39" i="30"/>
  <c r="P21" i="30"/>
  <c r="J41" i="30"/>
  <c r="N39" i="30"/>
  <c r="S20" i="30"/>
  <c r="M48" i="30"/>
  <c r="L38" i="30"/>
  <c r="H25" i="30"/>
  <c r="V50" i="30"/>
  <c r="M53" i="30"/>
  <c r="T44" i="30"/>
  <c r="U51" i="30"/>
  <c r="F20" i="30"/>
  <c r="Y26" i="30"/>
  <c r="N16" i="30"/>
  <c r="O19" i="30"/>
  <c r="P44" i="30"/>
  <c r="G18" i="30"/>
  <c r="Q28" i="30"/>
  <c r="S57" i="30"/>
  <c r="R26" i="30"/>
  <c r="Q16" i="30"/>
  <c r="H42" i="30"/>
  <c r="K53" i="30"/>
  <c r="G29" i="30"/>
  <c r="E17" i="30"/>
  <c r="T19" i="30"/>
  <c r="F31" i="30"/>
  <c r="O51" i="30"/>
  <c r="S29" i="30"/>
  <c r="L21" i="30"/>
  <c r="I31" i="30"/>
  <c r="N38" i="30"/>
  <c r="P54" i="30"/>
  <c r="E28" i="30"/>
  <c r="N27" i="30"/>
  <c r="J27" i="30"/>
  <c r="T25" i="30"/>
  <c r="T39" i="30"/>
  <c r="M31" i="30"/>
  <c r="P26" i="30"/>
  <c r="N22" i="30"/>
  <c r="K25" i="30"/>
  <c r="P22" i="30"/>
  <c r="R41" i="30"/>
  <c r="I39" i="30"/>
  <c r="P55" i="30"/>
  <c r="T47" i="30"/>
  <c r="F27" i="30"/>
  <c r="V53" i="30"/>
  <c r="L41" i="30"/>
  <c r="M50" i="30"/>
  <c r="T37" i="30"/>
  <c r="J51" i="30"/>
  <c r="E16" i="30"/>
  <c r="Q20" i="30"/>
  <c r="Y18" i="30"/>
  <c r="H23" i="30"/>
  <c r="T41" i="30"/>
  <c r="L50" i="30"/>
  <c r="Y16" i="30"/>
  <c r="D22" i="30"/>
  <c r="G22" i="30"/>
  <c r="G24" i="30"/>
  <c r="S24" i="30"/>
  <c r="I16" i="30"/>
  <c r="K24" i="30"/>
  <c r="S39" i="30"/>
  <c r="N19" i="30"/>
  <c r="D39" i="30"/>
  <c r="G45" i="30"/>
  <c r="U41" i="30"/>
  <c r="P45" i="30"/>
  <c r="J28" i="30"/>
  <c r="H43" i="30"/>
  <c r="R46" i="30"/>
  <c r="R43" i="30"/>
  <c r="S49" i="30"/>
  <c r="Q42" i="30"/>
  <c r="O43" i="30"/>
  <c r="O23" i="30"/>
  <c r="D28" i="30"/>
  <c r="M45" i="30"/>
  <c r="H56" i="30"/>
  <c r="N25" i="30"/>
  <c r="G26" i="30"/>
  <c r="E54" i="30"/>
  <c r="H41" i="30"/>
  <c r="R50" i="30"/>
  <c r="O45" i="30"/>
  <c r="V28" i="30"/>
  <c r="I53" i="30"/>
  <c r="I17" i="30"/>
  <c r="N20" i="30"/>
  <c r="M17" i="30"/>
  <c r="O56" i="30"/>
  <c r="M26" i="30"/>
  <c r="P29" i="30"/>
  <c r="G23" i="30"/>
  <c r="P17" i="30"/>
  <c r="H19" i="30"/>
  <c r="K50" i="30"/>
  <c r="S50" i="30"/>
  <c r="S44" i="30"/>
  <c r="U49" i="30"/>
  <c r="P48" i="30"/>
  <c r="E30" i="30"/>
  <c r="L17" i="30"/>
  <c r="L20" i="30"/>
  <c r="L25" i="30"/>
  <c r="Q31" i="30"/>
  <c r="P49" i="30"/>
  <c r="D26" i="30"/>
  <c r="U21" i="30"/>
  <c r="D29" i="30"/>
  <c r="S38" i="30"/>
  <c r="T49" i="30"/>
  <c r="E47" i="30"/>
  <c r="L51" i="30"/>
  <c r="L39" i="30"/>
  <c r="H57" i="30"/>
  <c r="S18" i="30"/>
  <c r="H52" i="30"/>
  <c r="T43" i="30"/>
  <c r="I56" i="30"/>
  <c r="F37" i="30"/>
  <c r="V48" i="30"/>
  <c r="L16" i="30"/>
  <c r="N23" i="30"/>
  <c r="G41" i="30"/>
  <c r="J45" i="30"/>
  <c r="T16" i="30"/>
  <c r="H24" i="30"/>
  <c r="R54" i="30"/>
  <c r="I23" i="30"/>
  <c r="K49" i="30"/>
  <c r="L40" i="30"/>
  <c r="L57" i="30"/>
  <c r="M43" i="30"/>
  <c r="I20" i="30"/>
  <c r="P25" i="30"/>
  <c r="P31" i="30"/>
  <c r="L23" i="30"/>
  <c r="T42" i="30"/>
  <c r="E44" i="30"/>
  <c r="U46" i="30"/>
  <c r="S16" i="30"/>
  <c r="E52" i="30"/>
  <c r="N54" i="30"/>
  <c r="H51" i="30"/>
  <c r="P23" i="30"/>
  <c r="U24" i="30"/>
  <c r="V19" i="30"/>
  <c r="S22" i="30"/>
  <c r="J21" i="30"/>
  <c r="T24" i="30"/>
  <c r="U57" i="30"/>
  <c r="J44" i="30"/>
  <c r="K47" i="30"/>
  <c r="D46" i="30"/>
  <c r="E26" i="30"/>
  <c r="U29" i="30"/>
  <c r="L18" i="30"/>
  <c r="D49" i="30"/>
  <c r="L56" i="30"/>
  <c r="L47" i="30"/>
  <c r="O54" i="30"/>
  <c r="F57" i="30"/>
  <c r="T20" i="30"/>
  <c r="K27" i="30"/>
  <c r="R55" i="30"/>
  <c r="Y27" i="30"/>
  <c r="T30" i="30"/>
  <c r="K20" i="30"/>
  <c r="R38" i="30"/>
  <c r="R18" i="30"/>
  <c r="V39" i="30"/>
  <c r="P28" i="30"/>
  <c r="D24" i="30"/>
  <c r="R28" i="30"/>
  <c r="U40" i="30"/>
  <c r="E51" i="30"/>
  <c r="R25" i="30"/>
  <c r="Q26" i="30"/>
  <c r="K37" i="30"/>
  <c r="D38" i="30"/>
  <c r="S51" i="30"/>
  <c r="L45" i="30"/>
  <c r="O57" i="30"/>
  <c r="J54" i="30"/>
  <c r="Q37" i="30"/>
  <c r="D57" i="30"/>
  <c r="O31" i="30"/>
  <c r="H53" i="30"/>
  <c r="T55" i="30"/>
  <c r="H39" i="30"/>
  <c r="D16" i="30"/>
  <c r="V17" i="30"/>
  <c r="E46" i="30"/>
  <c r="S40" i="30"/>
  <c r="N55" i="30"/>
  <c r="E49" i="30"/>
  <c r="V29" i="30"/>
  <c r="R154" i="32" l="1"/>
  <c r="X49" i="30"/>
  <c r="X46" i="30"/>
  <c r="R142" i="32"/>
  <c r="Q121" i="32"/>
  <c r="B141" i="32"/>
  <c r="B179" i="32"/>
  <c r="B160" i="32"/>
  <c r="L156" i="32"/>
  <c r="N151" i="32"/>
  <c r="O150" i="32"/>
  <c r="X51" i="30"/>
  <c r="O153" i="32"/>
  <c r="B187" i="32"/>
  <c r="Q129" i="32"/>
  <c r="B168" i="32"/>
  <c r="B149" i="32"/>
  <c r="M153" i="32"/>
  <c r="O143" i="32"/>
  <c r="H145" i="32"/>
  <c r="H152" i="32"/>
  <c r="I143" i="32"/>
  <c r="Q154" i="32"/>
  <c r="C151" i="32"/>
  <c r="X26" i="30"/>
  <c r="S151" i="32" s="1"/>
  <c r="G146" i="32"/>
  <c r="P147" i="32"/>
  <c r="R144" i="32"/>
  <c r="Q149" i="32"/>
  <c r="M148" i="32"/>
  <c r="M167" i="32" s="1"/>
  <c r="X52" i="30"/>
  <c r="P141" i="32"/>
  <c r="X44" i="30"/>
  <c r="I148" i="32"/>
  <c r="I167" i="32" s="1"/>
  <c r="M156" i="32"/>
  <c r="M150" i="32"/>
  <c r="F145" i="32"/>
  <c r="F148" i="32"/>
  <c r="F167" i="32" s="1"/>
  <c r="K148" i="32"/>
  <c r="I141" i="32"/>
  <c r="P143" i="32"/>
  <c r="X47" i="30"/>
  <c r="Q134" i="32"/>
  <c r="B173" i="32"/>
  <c r="B154" i="32"/>
  <c r="B192" i="32"/>
  <c r="Q146" i="32"/>
  <c r="B151" i="32"/>
  <c r="Q131" i="32"/>
  <c r="B189" i="32"/>
  <c r="B170" i="32"/>
  <c r="N156" i="32"/>
  <c r="I150" i="32"/>
  <c r="I145" i="32"/>
  <c r="I142" i="32"/>
  <c r="X30" i="30"/>
  <c r="S155" i="32" s="1"/>
  <c r="C155" i="32"/>
  <c r="M142" i="32"/>
  <c r="E148" i="32"/>
  <c r="E167" i="32" s="1"/>
  <c r="M154" i="32"/>
  <c r="J151" i="32"/>
  <c r="J142" i="32"/>
  <c r="K145" i="32"/>
  <c r="F142" i="32"/>
  <c r="R153" i="32"/>
  <c r="X54" i="30"/>
  <c r="E151" i="32"/>
  <c r="K150" i="32"/>
  <c r="Q133" i="32"/>
  <c r="B172" i="32"/>
  <c r="B191" i="32"/>
  <c r="B153" i="32"/>
  <c r="L148" i="32"/>
  <c r="G153" i="32"/>
  <c r="G172" i="32" s="1"/>
  <c r="K144" i="32"/>
  <c r="H149" i="32"/>
  <c r="F141" i="32"/>
  <c r="P149" i="32"/>
  <c r="E149" i="32"/>
  <c r="E147" i="32"/>
  <c r="B147" i="32"/>
  <c r="Q127" i="32"/>
  <c r="B185" i="32"/>
  <c r="B166" i="32"/>
  <c r="N145" i="32"/>
  <c r="C141" i="32"/>
  <c r="X16" i="30"/>
  <c r="S141" i="32" s="1"/>
  <c r="D152" i="32"/>
  <c r="M147" i="32"/>
  <c r="H150" i="32"/>
  <c r="K147" i="32"/>
  <c r="M151" i="32"/>
  <c r="J156" i="32"/>
  <c r="G152" i="32"/>
  <c r="K152" i="32"/>
  <c r="C153" i="32"/>
  <c r="X28" i="30"/>
  <c r="S153" i="32" s="1"/>
  <c r="F156" i="32"/>
  <c r="F175" i="32" s="1"/>
  <c r="I146" i="32"/>
  <c r="P154" i="32"/>
  <c r="D156" i="32"/>
  <c r="X17" i="30"/>
  <c r="S142" i="32" s="1"/>
  <c r="C142" i="32"/>
  <c r="E154" i="32"/>
  <c r="N141" i="32"/>
  <c r="O151" i="32"/>
  <c r="N153" i="32"/>
  <c r="E143" i="32"/>
  <c r="L144" i="32"/>
  <c r="K141" i="32"/>
  <c r="D145" i="32"/>
  <c r="P145" i="32"/>
  <c r="M146" i="32"/>
  <c r="D142" i="32"/>
  <c r="X56" i="30"/>
  <c r="P151" i="32"/>
  <c r="F144" i="32"/>
  <c r="I152" i="32"/>
  <c r="B186" i="32"/>
  <c r="Q128" i="32"/>
  <c r="B167" i="32"/>
  <c r="B148" i="32"/>
  <c r="M145" i="32"/>
  <c r="Q126" i="32"/>
  <c r="B165" i="32"/>
  <c r="B184" i="32"/>
  <c r="B146" i="32"/>
  <c r="M144" i="32"/>
  <c r="R156" i="32"/>
  <c r="X22" i="30"/>
  <c r="S147" i="32" s="1"/>
  <c r="C147" i="32"/>
  <c r="K156" i="32"/>
  <c r="H153" i="32"/>
  <c r="I153" i="32"/>
  <c r="I172" i="32" s="1"/>
  <c r="R152" i="32"/>
  <c r="R147" i="32"/>
  <c r="E152" i="32"/>
  <c r="F154" i="32"/>
  <c r="E146" i="32"/>
  <c r="B174" i="32"/>
  <c r="Q135" i="32"/>
  <c r="B155" i="32"/>
  <c r="B193" i="32"/>
  <c r="Q136" i="32"/>
  <c r="B156" i="32"/>
  <c r="B175" i="32"/>
  <c r="B194" i="32"/>
  <c r="R149" i="32"/>
  <c r="F153" i="32"/>
  <c r="F172" i="32" s="1"/>
  <c r="M143" i="32"/>
  <c r="M162" i="32" s="1"/>
  <c r="I151" i="32"/>
  <c r="I170" i="32" s="1"/>
  <c r="X23" i="30"/>
  <c r="S148" i="32" s="1"/>
  <c r="C148" i="32"/>
  <c r="D155" i="32"/>
  <c r="N144" i="32"/>
  <c r="J154" i="32"/>
  <c r="B164" i="32"/>
  <c r="B183" i="32"/>
  <c r="Q125" i="32"/>
  <c r="B145" i="32"/>
  <c r="B162" i="32"/>
  <c r="B143" i="32"/>
  <c r="Q123" i="32"/>
  <c r="B181" i="32"/>
  <c r="J146" i="32"/>
  <c r="C145" i="32"/>
  <c r="X20" i="30"/>
  <c r="S145" i="32" s="1"/>
  <c r="Q151" i="32"/>
  <c r="L150" i="32"/>
  <c r="O144" i="32"/>
  <c r="Q147" i="32"/>
  <c r="O155" i="32"/>
  <c r="X42" i="30"/>
  <c r="H151" i="32"/>
  <c r="N150" i="32"/>
  <c r="K153" i="32"/>
  <c r="G150" i="32"/>
  <c r="L151" i="32"/>
  <c r="X19" i="30"/>
  <c r="S144" i="32" s="1"/>
  <c r="C144" i="32"/>
  <c r="F151" i="32"/>
  <c r="F170" i="32" s="1"/>
  <c r="B163" i="32"/>
  <c r="B182" i="32"/>
  <c r="Q124" i="32"/>
  <c r="B144" i="32"/>
  <c r="J150" i="32"/>
  <c r="G156" i="32"/>
  <c r="G175" i="32" s="1"/>
  <c r="L152" i="32"/>
  <c r="N148" i="32"/>
  <c r="N167" i="32" s="1"/>
  <c r="O146" i="32"/>
  <c r="P155" i="32"/>
  <c r="P152" i="32"/>
  <c r="H143" i="32"/>
  <c r="D148" i="32"/>
  <c r="X48" i="30"/>
  <c r="H146" i="32"/>
  <c r="H142" i="32"/>
  <c r="I149" i="32"/>
  <c r="I168" i="32" s="1"/>
  <c r="M155" i="32"/>
  <c r="M174" i="32" s="1"/>
  <c r="Q142" i="32"/>
  <c r="H155" i="32"/>
  <c r="D146" i="32"/>
  <c r="N149" i="32"/>
  <c r="N168" i="32" s="1"/>
  <c r="H148" i="32"/>
  <c r="R141" i="32"/>
  <c r="D149" i="32"/>
  <c r="C156" i="32"/>
  <c r="X31" i="30"/>
  <c r="S156" i="32" s="1"/>
  <c r="P156" i="32"/>
  <c r="F149" i="32"/>
  <c r="F168" i="32" s="1"/>
  <c r="K143" i="32"/>
  <c r="X40" i="30"/>
  <c r="F146" i="32"/>
  <c r="X39" i="30"/>
  <c r="Q148" i="32"/>
  <c r="E141" i="32"/>
  <c r="K154" i="32"/>
  <c r="I154" i="32"/>
  <c r="X43" i="30"/>
  <c r="E156" i="32"/>
  <c r="E175" i="32" s="1"/>
  <c r="H156" i="32"/>
  <c r="N146" i="32"/>
  <c r="N165" i="32" s="1"/>
  <c r="M152" i="32"/>
  <c r="I144" i="32"/>
  <c r="J141" i="32"/>
  <c r="N154" i="32"/>
  <c r="P148" i="32"/>
  <c r="K151" i="32"/>
  <c r="J155" i="32"/>
  <c r="O154" i="32"/>
  <c r="J143" i="32"/>
  <c r="Q152" i="32"/>
  <c r="K149" i="32"/>
  <c r="L143" i="32"/>
  <c r="R150" i="32"/>
  <c r="B150" i="32"/>
  <c r="Q130" i="32"/>
  <c r="B188" i="32"/>
  <c r="B169" i="32"/>
  <c r="L145" i="32"/>
  <c r="E155" i="32"/>
  <c r="E174" i="32" s="1"/>
  <c r="R143" i="32"/>
  <c r="D147" i="32"/>
  <c r="P146" i="32"/>
  <c r="L155" i="32"/>
  <c r="B190" i="32"/>
  <c r="Q132" i="32"/>
  <c r="B171" i="32"/>
  <c r="B152" i="32"/>
  <c r="M141" i="32"/>
  <c r="M160" i="32" s="1"/>
  <c r="H154" i="32"/>
  <c r="X57" i="30"/>
  <c r="D143" i="32"/>
  <c r="J147" i="32"/>
  <c r="X55" i="30"/>
  <c r="G141" i="32"/>
  <c r="G143" i="32"/>
  <c r="J148" i="32"/>
  <c r="G142" i="32"/>
  <c r="G161" i="32" s="1"/>
  <c r="P142" i="32"/>
  <c r="K155" i="32"/>
  <c r="R145" i="32"/>
  <c r="R155" i="32"/>
  <c r="O156" i="32"/>
  <c r="X25" i="30"/>
  <c r="S150" i="32" s="1"/>
  <c r="C150" i="32"/>
  <c r="F143" i="32"/>
  <c r="F162" i="32" s="1"/>
  <c r="Q141" i="32"/>
  <c r="O149" i="32"/>
  <c r="P153" i="32"/>
  <c r="L153" i="32"/>
  <c r="P144" i="32"/>
  <c r="G145" i="32"/>
  <c r="X27" i="30"/>
  <c r="S152" i="32" s="1"/>
  <c r="C152" i="32"/>
  <c r="H147" i="32"/>
  <c r="X38" i="30"/>
  <c r="N143" i="32"/>
  <c r="N162" i="32" s="1"/>
  <c r="J152" i="32"/>
  <c r="L142" i="32"/>
  <c r="I155" i="32"/>
  <c r="I174" i="32" s="1"/>
  <c r="E150" i="32"/>
  <c r="E169" i="32" s="1"/>
  <c r="X29" i="30"/>
  <c r="S154" i="32" s="1"/>
  <c r="C154" i="32"/>
  <c r="O145" i="32"/>
  <c r="E153" i="32"/>
  <c r="E172" i="32" s="1"/>
  <c r="C149" i="32"/>
  <c r="X24" i="30"/>
  <c r="S149" i="32" s="1"/>
  <c r="G155" i="32"/>
  <c r="G174" i="32" s="1"/>
  <c r="P150" i="32"/>
  <c r="D153" i="32"/>
  <c r="Q155" i="32"/>
  <c r="X37" i="30"/>
  <c r="F150" i="32"/>
  <c r="F169" i="32" s="1"/>
  <c r="K146" i="32"/>
  <c r="H141" i="32"/>
  <c r="Q153" i="32"/>
  <c r="R151" i="32"/>
  <c r="J149" i="32"/>
  <c r="I147" i="32"/>
  <c r="M149" i="32"/>
  <c r="M168" i="32" s="1"/>
  <c r="G144" i="32"/>
  <c r="G163" i="32" s="1"/>
  <c r="I156" i="32"/>
  <c r="I175" i="32" s="1"/>
  <c r="L146" i="32"/>
  <c r="G148" i="32"/>
  <c r="G167" i="32" s="1"/>
  <c r="F152" i="32"/>
  <c r="F171" i="32" s="1"/>
  <c r="G154" i="32"/>
  <c r="G173" i="32" s="1"/>
  <c r="G149" i="32"/>
  <c r="G168" i="32" s="1"/>
  <c r="L154" i="32"/>
  <c r="J153" i="32"/>
  <c r="J144" i="32"/>
  <c r="X18" i="30"/>
  <c r="S143" i="32" s="1"/>
  <c r="C143" i="32"/>
  <c r="J145" i="32"/>
  <c r="N142" i="32"/>
  <c r="N161" i="32" s="1"/>
  <c r="O147" i="32"/>
  <c r="E142" i="32"/>
  <c r="N152" i="32"/>
  <c r="N171" i="32" s="1"/>
  <c r="D144" i="32"/>
  <c r="H144" i="32"/>
  <c r="G151" i="32"/>
  <c r="G170" i="32" s="1"/>
  <c r="K142" i="32"/>
  <c r="O141" i="32"/>
  <c r="D151" i="32"/>
  <c r="Q143" i="32"/>
  <c r="R148" i="32"/>
  <c r="X45" i="30"/>
  <c r="D141" i="32"/>
  <c r="L141" i="32"/>
  <c r="F155" i="32"/>
  <c r="F174" i="32" s="1"/>
  <c r="O148" i="32"/>
  <c r="G147" i="32"/>
  <c r="N155" i="32"/>
  <c r="N174" i="32" s="1"/>
  <c r="Q156" i="32"/>
  <c r="X41" i="30"/>
  <c r="L147" i="32"/>
  <c r="Q145" i="32"/>
  <c r="O152" i="32"/>
  <c r="Q150" i="32"/>
  <c r="B161" i="32"/>
  <c r="B180" i="32"/>
  <c r="B142" i="32"/>
  <c r="Q122" i="32"/>
  <c r="D150" i="32"/>
  <c r="X53" i="30"/>
  <c r="Q144" i="32"/>
  <c r="R146" i="32"/>
  <c r="O142" i="32"/>
  <c r="X21" i="30"/>
  <c r="S146" i="32" s="1"/>
  <c r="C146" i="32"/>
  <c r="E144" i="32"/>
  <c r="E163" i="32" s="1"/>
  <c r="F147" i="32"/>
  <c r="D154" i="32"/>
  <c r="E145" i="32"/>
  <c r="E164" i="32" s="1"/>
  <c r="L149" i="32"/>
  <c r="N147" i="32"/>
  <c r="X50" i="30"/>
  <c r="M170" i="32" l="1"/>
  <c r="R114" i="32"/>
  <c r="M171" i="32"/>
  <c r="N169" i="32"/>
  <c r="E165" i="32"/>
  <c r="N172" i="32"/>
  <c r="E168" i="32"/>
  <c r="E170" i="32"/>
  <c r="M175" i="32"/>
  <c r="M172" i="32"/>
  <c r="N170" i="32"/>
  <c r="O167" i="32"/>
  <c r="O187" i="32"/>
  <c r="U188" i="32"/>
  <c r="J168" i="32"/>
  <c r="C168" i="32"/>
  <c r="S168" i="32" s="1"/>
  <c r="T188" i="32"/>
  <c r="U191" i="32"/>
  <c r="J171" i="32"/>
  <c r="D166" i="32"/>
  <c r="S186" i="32"/>
  <c r="Q167" i="32"/>
  <c r="M187" i="32"/>
  <c r="M183" i="32"/>
  <c r="Q163" i="32"/>
  <c r="Q181" i="32"/>
  <c r="K161" i="32"/>
  <c r="U184" i="32"/>
  <c r="J164" i="32"/>
  <c r="U192" i="32"/>
  <c r="J172" i="32"/>
  <c r="P172" i="32"/>
  <c r="N192" i="32"/>
  <c r="N173" i="32"/>
  <c r="Q104" i="32"/>
  <c r="K183" i="32"/>
  <c r="R190" i="32"/>
  <c r="H170" i="32"/>
  <c r="O163" i="32"/>
  <c r="O183" i="32"/>
  <c r="T184" i="32"/>
  <c r="C164" i="32"/>
  <c r="S164" i="32" s="1"/>
  <c r="D174" i="32"/>
  <c r="S194" i="32"/>
  <c r="D161" i="32"/>
  <c r="S181" i="32"/>
  <c r="R106" i="32"/>
  <c r="M184" i="32"/>
  <c r="Q164" i="32"/>
  <c r="N166" i="32"/>
  <c r="F166" i="32"/>
  <c r="O181" i="32"/>
  <c r="O161" i="32"/>
  <c r="S189" i="32"/>
  <c r="D169" i="32"/>
  <c r="K181" i="32"/>
  <c r="Q102" i="32"/>
  <c r="L166" i="32"/>
  <c r="P186" i="32"/>
  <c r="G166" i="32"/>
  <c r="D160" i="32"/>
  <c r="S180" i="32"/>
  <c r="D170" i="32"/>
  <c r="S190" i="32"/>
  <c r="R183" i="32"/>
  <c r="H163" i="32"/>
  <c r="O166" i="32"/>
  <c r="O186" i="32"/>
  <c r="R103" i="32"/>
  <c r="L165" i="32"/>
  <c r="P185" i="32"/>
  <c r="I166" i="32"/>
  <c r="H160" i="32"/>
  <c r="R180" i="32"/>
  <c r="M194" i="32"/>
  <c r="Q174" i="32"/>
  <c r="R109" i="32"/>
  <c r="C173" i="32"/>
  <c r="S173" i="32" s="1"/>
  <c r="T193" i="32"/>
  <c r="L161" i="32"/>
  <c r="P181" i="32"/>
  <c r="H166" i="32"/>
  <c r="R186" i="32"/>
  <c r="P163" i="32"/>
  <c r="N183" i="32"/>
  <c r="Q160" i="32"/>
  <c r="M180" i="32"/>
  <c r="O175" i="32"/>
  <c r="O195" i="32"/>
  <c r="P161" i="32"/>
  <c r="N181" i="32"/>
  <c r="G160" i="32"/>
  <c r="K191" i="32"/>
  <c r="Q112" i="32"/>
  <c r="N185" i="32"/>
  <c r="P165" i="32"/>
  <c r="L164" i="32"/>
  <c r="P184" i="32"/>
  <c r="M191" i="32"/>
  <c r="Q171" i="32"/>
  <c r="Q190" i="32"/>
  <c r="K170" i="32"/>
  <c r="I163" i="32"/>
  <c r="E160" i="32"/>
  <c r="R116" i="32"/>
  <c r="R187" i="32"/>
  <c r="H167" i="32"/>
  <c r="Q161" i="32"/>
  <c r="M181" i="32"/>
  <c r="H165" i="32"/>
  <c r="R185" i="32"/>
  <c r="P171" i="32"/>
  <c r="N191" i="32"/>
  <c r="P191" i="32"/>
  <c r="L171" i="32"/>
  <c r="C163" i="32"/>
  <c r="S163" i="32" s="1"/>
  <c r="T183" i="32"/>
  <c r="Q192" i="32"/>
  <c r="K172" i="32"/>
  <c r="O194" i="32"/>
  <c r="O174" i="32"/>
  <c r="M190" i="32"/>
  <c r="Q170" i="32"/>
  <c r="U193" i="32"/>
  <c r="J173" i="32"/>
  <c r="R108" i="32"/>
  <c r="L188" i="32"/>
  <c r="R168" i="32"/>
  <c r="K194" i="32"/>
  <c r="Q115" i="32"/>
  <c r="L186" i="32"/>
  <c r="R166" i="32"/>
  <c r="K175" i="32"/>
  <c r="Q195" i="32"/>
  <c r="M163" i="32"/>
  <c r="N190" i="32"/>
  <c r="P170" i="32"/>
  <c r="N184" i="32"/>
  <c r="P164" i="32"/>
  <c r="E162" i="32"/>
  <c r="E173" i="32"/>
  <c r="N193" i="32"/>
  <c r="P173" i="32"/>
  <c r="C172" i="32"/>
  <c r="S172" i="32" s="1"/>
  <c r="T192" i="32"/>
  <c r="S191" i="32"/>
  <c r="D171" i="32"/>
  <c r="Q107" i="32"/>
  <c r="K186" i="32"/>
  <c r="E166" i="32"/>
  <c r="H168" i="32"/>
  <c r="R188" i="32"/>
  <c r="K169" i="32"/>
  <c r="Q189" i="32"/>
  <c r="F161" i="32"/>
  <c r="M173" i="32"/>
  <c r="R115" i="32"/>
  <c r="N175" i="32"/>
  <c r="Q114" i="32"/>
  <c r="K193" i="32"/>
  <c r="I160" i="32"/>
  <c r="M169" i="32"/>
  <c r="P160" i="32"/>
  <c r="N180" i="32"/>
  <c r="L183" i="32"/>
  <c r="R163" i="32"/>
  <c r="T190" i="32"/>
  <c r="C170" i="32"/>
  <c r="S170" i="32" s="1"/>
  <c r="R184" i="32"/>
  <c r="H164" i="32"/>
  <c r="K188" i="32"/>
  <c r="Q109" i="32"/>
  <c r="K180" i="32"/>
  <c r="Q101" i="32"/>
  <c r="R161" i="32"/>
  <c r="L181" i="32"/>
  <c r="Q169" i="32"/>
  <c r="M189" i="32"/>
  <c r="D163" i="32"/>
  <c r="S183" i="32"/>
  <c r="U183" i="32"/>
  <c r="J163" i="32"/>
  <c r="Q185" i="32"/>
  <c r="K165" i="32"/>
  <c r="T191" i="32"/>
  <c r="C171" i="32"/>
  <c r="S171" i="32" s="1"/>
  <c r="K189" i="32"/>
  <c r="Q110" i="32"/>
  <c r="R169" i="32"/>
  <c r="L189" i="32"/>
  <c r="J162" i="32"/>
  <c r="U182" i="32"/>
  <c r="P167" i="32"/>
  <c r="N187" i="32"/>
  <c r="T195" i="32"/>
  <c r="C175" i="32"/>
  <c r="S175" i="32" s="1"/>
  <c r="N194" i="32"/>
  <c r="P174" i="32"/>
  <c r="R104" i="32"/>
  <c r="Q166" i="32"/>
  <c r="M186" i="32"/>
  <c r="R105" i="32"/>
  <c r="N163" i="32"/>
  <c r="R171" i="32"/>
  <c r="L191" i="32"/>
  <c r="T186" i="32"/>
  <c r="C166" i="32"/>
  <c r="S166" i="32" s="1"/>
  <c r="M164" i="32"/>
  <c r="D164" i="32"/>
  <c r="S184" i="32"/>
  <c r="T181" i="32"/>
  <c r="C161" i="32"/>
  <c r="S161" i="32" s="1"/>
  <c r="I165" i="32"/>
  <c r="K171" i="32"/>
  <c r="Q191" i="32"/>
  <c r="K166" i="32"/>
  <c r="Q186" i="32"/>
  <c r="R101" i="32"/>
  <c r="Q183" i="32"/>
  <c r="K163" i="32"/>
  <c r="Q184" i="32"/>
  <c r="K164" i="32"/>
  <c r="I161" i="32"/>
  <c r="Q111" i="32"/>
  <c r="K190" i="32"/>
  <c r="Q165" i="32"/>
  <c r="M185" i="32"/>
  <c r="Q187" i="32"/>
  <c r="K167" i="32"/>
  <c r="N186" i="32"/>
  <c r="P166" i="32"/>
  <c r="Q173" i="32"/>
  <c r="M193" i="32"/>
  <c r="O182" i="32"/>
  <c r="O162" i="32"/>
  <c r="O189" i="32"/>
  <c r="O169" i="32"/>
  <c r="P192" i="32"/>
  <c r="L172" i="32"/>
  <c r="Q182" i="32"/>
  <c r="K162" i="32"/>
  <c r="T185" i="32"/>
  <c r="C165" i="32"/>
  <c r="S165" i="32" s="1"/>
  <c r="O171" i="32"/>
  <c r="O191" i="32"/>
  <c r="R170" i="32"/>
  <c r="L190" i="32"/>
  <c r="P169" i="32"/>
  <c r="N189" i="32"/>
  <c r="T189" i="32"/>
  <c r="C169" i="32"/>
  <c r="S169" i="32" s="1"/>
  <c r="L162" i="32"/>
  <c r="P182" i="32"/>
  <c r="I173" i="32"/>
  <c r="S188" i="32"/>
  <c r="D168" i="32"/>
  <c r="D167" i="32"/>
  <c r="S187" i="32"/>
  <c r="U189" i="32"/>
  <c r="J169" i="32"/>
  <c r="K195" i="32"/>
  <c r="Q116" i="32"/>
  <c r="F173" i="32"/>
  <c r="I171" i="32"/>
  <c r="Q180" i="32"/>
  <c r="K160" i="32"/>
  <c r="R102" i="32"/>
  <c r="G171" i="32"/>
  <c r="R189" i="32"/>
  <c r="H169" i="32"/>
  <c r="T180" i="32"/>
  <c r="C160" i="32"/>
  <c r="S160" i="32" s="1"/>
  <c r="N188" i="32"/>
  <c r="P168" i="32"/>
  <c r="Q113" i="32"/>
  <c r="K192" i="32"/>
  <c r="U181" i="32"/>
  <c r="J161" i="32"/>
  <c r="M161" i="32"/>
  <c r="I164" i="32"/>
  <c r="G165" i="32"/>
  <c r="I162" i="32"/>
  <c r="L168" i="32"/>
  <c r="P188" i="32"/>
  <c r="R165" i="32"/>
  <c r="L185" i="32"/>
  <c r="O160" i="32"/>
  <c r="O180" i="32"/>
  <c r="S192" i="32"/>
  <c r="D172" i="32"/>
  <c r="L194" i="32"/>
  <c r="R174" i="32"/>
  <c r="R193" i="32"/>
  <c r="H173" i="32"/>
  <c r="Q175" i="32"/>
  <c r="M195" i="32"/>
  <c r="L187" i="32"/>
  <c r="R167" i="32"/>
  <c r="R112" i="32"/>
  <c r="R164" i="32"/>
  <c r="L184" i="32"/>
  <c r="U187" i="32"/>
  <c r="J167" i="32"/>
  <c r="U186" i="32"/>
  <c r="J166" i="32"/>
  <c r="L182" i="32"/>
  <c r="R162" i="32"/>
  <c r="O193" i="32"/>
  <c r="O173" i="32"/>
  <c r="D165" i="32"/>
  <c r="S185" i="32"/>
  <c r="O165" i="32"/>
  <c r="O185" i="32"/>
  <c r="P190" i="32"/>
  <c r="L170" i="32"/>
  <c r="R107" i="32"/>
  <c r="O170" i="32"/>
  <c r="O190" i="32"/>
  <c r="S193" i="32"/>
  <c r="D173" i="32"/>
  <c r="L160" i="32"/>
  <c r="P180" i="32"/>
  <c r="M182" i="32"/>
  <c r="Q162" i="32"/>
  <c r="E161" i="32"/>
  <c r="C162" i="32"/>
  <c r="S162" i="32" s="1"/>
  <c r="T182" i="32"/>
  <c r="P193" i="32"/>
  <c r="L173" i="32"/>
  <c r="Q172" i="32"/>
  <c r="M192" i="32"/>
  <c r="O184" i="32"/>
  <c r="O164" i="32"/>
  <c r="G164" i="32"/>
  <c r="O168" i="32"/>
  <c r="O188" i="32"/>
  <c r="R110" i="32"/>
  <c r="Q194" i="32"/>
  <c r="K174" i="32"/>
  <c r="G162" i="32"/>
  <c r="S182" i="32"/>
  <c r="D162" i="32"/>
  <c r="L174" i="32"/>
  <c r="P194" i="32"/>
  <c r="K168" i="32"/>
  <c r="Q188" i="32"/>
  <c r="J174" i="32"/>
  <c r="U194" i="32"/>
  <c r="J160" i="32"/>
  <c r="U180" i="32"/>
  <c r="H175" i="32"/>
  <c r="R195" i="32"/>
  <c r="K173" i="32"/>
  <c r="Q193" i="32"/>
  <c r="F165" i="32"/>
  <c r="P175" i="32"/>
  <c r="N195" i="32"/>
  <c r="R160" i="32"/>
  <c r="L180" i="32"/>
  <c r="H174" i="32"/>
  <c r="R194" i="32"/>
  <c r="H161" i="32"/>
  <c r="R181" i="32"/>
  <c r="R182" i="32"/>
  <c r="H162" i="32"/>
  <c r="G169" i="32"/>
  <c r="L169" i="32"/>
  <c r="P189" i="32"/>
  <c r="U185" i="32"/>
  <c r="J165" i="32"/>
  <c r="K182" i="32"/>
  <c r="Q103" i="32"/>
  <c r="K184" i="32"/>
  <c r="Q105" i="32"/>
  <c r="T187" i="32"/>
  <c r="C167" i="32"/>
  <c r="S167" i="32" s="1"/>
  <c r="E171" i="32"/>
  <c r="H172" i="32"/>
  <c r="R192" i="32"/>
  <c r="L195" i="32"/>
  <c r="R175" i="32"/>
  <c r="Q106" i="32"/>
  <c r="K185" i="32"/>
  <c r="K187" i="32"/>
  <c r="Q108" i="32"/>
  <c r="F163" i="32"/>
  <c r="M165" i="32"/>
  <c r="P183" i="32"/>
  <c r="L163" i="32"/>
  <c r="N160" i="32"/>
  <c r="D175" i="32"/>
  <c r="S195" i="32"/>
  <c r="R113" i="32"/>
  <c r="J175" i="32"/>
  <c r="U195" i="32"/>
  <c r="M166" i="32"/>
  <c r="N164" i="32"/>
  <c r="F160" i="32"/>
  <c r="P187" i="32"/>
  <c r="L167" i="32"/>
  <c r="R172" i="32"/>
  <c r="L192" i="32"/>
  <c r="J170" i="32"/>
  <c r="U190" i="32"/>
  <c r="C174" i="32"/>
  <c r="S174" i="32" s="1"/>
  <c r="T194" i="32"/>
  <c r="I169" i="32"/>
  <c r="P162" i="32"/>
  <c r="N182" i="32"/>
  <c r="F164" i="32"/>
  <c r="M188" i="32"/>
  <c r="Q168" i="32"/>
  <c r="R111" i="32"/>
  <c r="R191" i="32"/>
  <c r="H171" i="32"/>
  <c r="O172" i="32"/>
  <c r="O192" i="32"/>
  <c r="L175" i="32"/>
  <c r="P195" i="32"/>
  <c r="R173" i="32"/>
  <c r="L193" i="32"/>
</calcChain>
</file>

<file path=xl/comments1.xml><?xml version="1.0" encoding="utf-8"?>
<comments xmlns="http://schemas.openxmlformats.org/spreadsheetml/2006/main">
  <authors>
    <author>Yoshinobu Ohno</author>
  </authors>
  <commentList>
    <comment ref="C15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この並列数はグラフのMFLOPSに使用するのみである。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  <author>作成者</author>
  </authors>
  <commentList>
    <comment ref="EI2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 ビジー率100%となるメモリスループット基準値</t>
        </r>
      </text>
    </comment>
    <comment ref="EJ2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 ボトルネックのメモリスループットの目安値</t>
        </r>
      </text>
    </comment>
    <comment ref="EK2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 ビジー率100%となるメモリスループット基準値</t>
        </r>
      </text>
    </comment>
    <comment ref="EL2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 ボトルネックのメモリスループットの目安値</t>
        </r>
      </text>
    </comment>
    <comment ref="A3" authorId="1">
      <text>
        <r>
          <rPr>
            <b/>
            <sz val="9"/>
            <color indexed="10"/>
            <rFont val="ＭＳ Ｐゴシック"/>
            <family val="3"/>
            <charset val="128"/>
          </rPr>
          <t>KcomputerのPAデータの入力</t>
        </r>
        <r>
          <rPr>
            <sz val="9"/>
            <color indexed="10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<sst xmlns="http://schemas.openxmlformats.org/spreadsheetml/2006/main" count="546" uniqueCount="424">
  <si>
    <t>cycle_counts</t>
  </si>
  <si>
    <t>op_stv_wait</t>
  </si>
  <si>
    <t>op_stv_wait_nc_pend</t>
  </si>
  <si>
    <t>op_stv_wait_sxmiss_ex</t>
  </si>
  <si>
    <t>branch_instructions</t>
  </si>
  <si>
    <t>op_stv_wait_ex</t>
  </si>
  <si>
    <t>op_stv_wait_sxmiss</t>
  </si>
  <si>
    <t>eu_comp_wait</t>
  </si>
  <si>
    <t>cse_window_empty</t>
  </si>
  <si>
    <t>branch_comp_wait</t>
  </si>
  <si>
    <t>fl_comp_wait</t>
  </si>
  <si>
    <t>cse_window_empty_sp_full</t>
  </si>
  <si>
    <t>load_store_instructions</t>
  </si>
  <si>
    <t>inh_cmit_gpr_2write</t>
  </si>
  <si>
    <t>0endop</t>
  </si>
  <si>
    <t>floating_instructions</t>
  </si>
  <si>
    <t>3endop</t>
  </si>
  <si>
    <t>2endop</t>
  </si>
  <si>
    <t>1endop</t>
  </si>
  <si>
    <t>prefetch_instructions</t>
  </si>
  <si>
    <t>instruction_flow_counts</t>
  </si>
  <si>
    <t>uOPコミット</t>
  </si>
  <si>
    <t>整数ロードメモリアクセス待ち</t>
    <rPh sb="12" eb="13">
      <t>マ</t>
    </rPh>
    <phoneticPr fontId="3"/>
  </si>
  <si>
    <t>ストア待ち</t>
    <rPh sb="3" eb="4">
      <t>マ</t>
    </rPh>
    <phoneticPr fontId="3"/>
  </si>
  <si>
    <t>I/Oアクセス待ち</t>
  </si>
  <si>
    <t>整数ロードキャッシュアクセス待ち</t>
    <rPh sb="14" eb="15">
      <t>マ</t>
    </rPh>
    <phoneticPr fontId="3"/>
  </si>
  <si>
    <t>分岐命令待ち</t>
  </si>
  <si>
    <t>命令フェッチ待ち</t>
    <rPh sb="6" eb="7">
      <t>マ</t>
    </rPh>
    <phoneticPr fontId="3"/>
  </si>
  <si>
    <t>その他の待ち</t>
  </si>
  <si>
    <t>1命令コミット</t>
  </si>
  <si>
    <t>整数レジスタ書き込み制約</t>
  </si>
  <si>
    <t>2/3命令コミット(その他)</t>
  </si>
  <si>
    <t>4命令コミット</t>
  </si>
  <si>
    <t>total</t>
  </si>
  <si>
    <t>浮動小数点ロードメモリアクセス待ち</t>
    <phoneticPr fontId="3"/>
  </si>
  <si>
    <t>浮動小数点ロードキャッシュアクセス待ち</t>
    <phoneticPr fontId="3"/>
  </si>
  <si>
    <t>整数演算待ち</t>
    <phoneticPr fontId="3"/>
  </si>
  <si>
    <t>浮動小数点演算待ち</t>
    <phoneticPr fontId="3"/>
  </si>
  <si>
    <t>浮動小数点レジスタ書き込み制約</t>
    <phoneticPr fontId="3"/>
  </si>
  <si>
    <t>MFLOPS</t>
    <phoneticPr fontId="3"/>
  </si>
  <si>
    <t>MIPS</t>
    <phoneticPr fontId="3"/>
  </si>
  <si>
    <t>CYCLE → 時間(s)</t>
    <rPh sb="8" eb="10">
      <t>ジカン</t>
    </rPh>
    <phoneticPr fontId="3"/>
  </si>
  <si>
    <t>2回目</t>
    <rPh sb="1" eb="3">
      <t>カイメ</t>
    </rPh>
    <phoneticPr fontId="3"/>
  </si>
  <si>
    <t>3回目</t>
    <rPh sb="1" eb="3">
      <t>カイメ</t>
    </rPh>
    <phoneticPr fontId="3"/>
  </si>
  <si>
    <t>4回目</t>
    <rPh sb="1" eb="3">
      <t>カイメ</t>
    </rPh>
    <phoneticPr fontId="3"/>
  </si>
  <si>
    <t>1回目の実行時間との比率</t>
    <rPh sb="1" eb="3">
      <t>カイメ</t>
    </rPh>
    <rPh sb="4" eb="6">
      <t>ジッコウ</t>
    </rPh>
    <rPh sb="6" eb="8">
      <t>ジカン</t>
    </rPh>
    <rPh sb="10" eb="12">
      <t>ヒリツ</t>
    </rPh>
    <phoneticPr fontId="3"/>
  </si>
  <si>
    <t>L2$ミス率</t>
    <rPh sb="5" eb="6">
      <t>リツ</t>
    </rPh>
    <phoneticPr fontId="3"/>
  </si>
  <si>
    <t>キャッシュ関連</t>
    <rPh sb="5" eb="7">
      <t>カンレン</t>
    </rPh>
    <phoneticPr fontId="3"/>
  </si>
  <si>
    <t>Load/Store(/総命令)</t>
    <rPh sb="12" eb="13">
      <t>ソウ</t>
    </rPh>
    <rPh sb="13" eb="15">
      <t>メイレイ</t>
    </rPh>
    <phoneticPr fontId="1"/>
  </si>
  <si>
    <t>L2$ミス数</t>
    <rPh sb="5" eb="6">
      <t>スウ</t>
    </rPh>
    <phoneticPr fontId="3"/>
  </si>
  <si>
    <t>TLB</t>
    <phoneticPr fontId="3"/>
  </si>
  <si>
    <t>mTLBミス率</t>
    <rPh sb="6" eb="7">
      <t>リツ</t>
    </rPh>
    <phoneticPr fontId="3"/>
  </si>
  <si>
    <t>グラフデータ(SEC)</t>
    <phoneticPr fontId="3"/>
  </si>
  <si>
    <t>グラフデータ(CPI)</t>
    <phoneticPr fontId="3"/>
  </si>
  <si>
    <t>グラフデータ(CYCLE)</t>
    <phoneticPr fontId="3"/>
  </si>
  <si>
    <t>浮動小数点ロードメモリアクセス待ち</t>
  </si>
  <si>
    <t>整数演算待ち</t>
  </si>
  <si>
    <t>浮動小数点演算待ち</t>
  </si>
  <si>
    <t>浮動小数点レジスタ書き込み制約</t>
  </si>
  <si>
    <t>SEC:</t>
    <phoneticPr fontId="3"/>
  </si>
  <si>
    <t>efective_instruction_counts</t>
  </si>
  <si>
    <t>fma_instructions</t>
  </si>
  <si>
    <t>L2_miss_dm</t>
  </si>
  <si>
    <t>L2_miss_pf</t>
  </si>
  <si>
    <t>L1D_miss</t>
  </si>
  <si>
    <t>L2_wb_dm</t>
  </si>
  <si>
    <t>L2_wb_pf</t>
  </si>
  <si>
    <t>SIMD_load_store_instructions</t>
  </si>
  <si>
    <t>SIMD_floating_instructions</t>
  </si>
  <si>
    <t>SIMD_fma_instructions</t>
  </si>
  <si>
    <t>trap_DMMU_miss</t>
  </si>
  <si>
    <t>uDTLB_miss</t>
    <phoneticPr fontId="3"/>
  </si>
  <si>
    <t>CPI</t>
    <phoneticPr fontId="3"/>
  </si>
  <si>
    <t>CPI:</t>
    <phoneticPr fontId="3"/>
  </si>
  <si>
    <t>MIPS</t>
  </si>
  <si>
    <t>5回目</t>
    <rPh sb="1" eb="3">
      <t>カイメ</t>
    </rPh>
    <phoneticPr fontId="3"/>
  </si>
  <si>
    <t>μTLBミス率</t>
    <rPh sb="6" eb="7">
      <t>リツ</t>
    </rPh>
    <phoneticPr fontId="3"/>
  </si>
  <si>
    <t>L2$ミス内訳(dm)</t>
    <rPh sb="5" eb="7">
      <t>ウチワケ</t>
    </rPh>
    <phoneticPr fontId="3"/>
  </si>
  <si>
    <t>L2$ミス内訳(pf)</t>
    <rPh sb="5" eb="7">
      <t>ウチワケ</t>
    </rPh>
    <phoneticPr fontId="3"/>
  </si>
  <si>
    <t>L1$ミス内訳(dm)</t>
    <rPh sb="5" eb="7">
      <t>ウチワケ</t>
    </rPh>
    <phoneticPr fontId="3"/>
  </si>
  <si>
    <t>L1$ミス内訳(swpf)</t>
    <rPh sb="5" eb="7">
      <t>ウチワケ</t>
    </rPh>
    <phoneticPr fontId="3"/>
  </si>
  <si>
    <t>L1$ミス内訳(hwpf)</t>
    <rPh sb="5" eb="7">
      <t>ウチワケ</t>
    </rPh>
    <phoneticPr fontId="3"/>
  </si>
  <si>
    <t>MFLOPS</t>
    <phoneticPr fontId="3"/>
  </si>
  <si>
    <t>ex_load_instructions</t>
    <phoneticPr fontId="3"/>
  </si>
  <si>
    <t>ex_store_instructions</t>
    <phoneticPr fontId="3"/>
  </si>
  <si>
    <t>fl_load_instructions</t>
    <phoneticPr fontId="3"/>
  </si>
  <si>
    <t>fl_store_instructions</t>
    <phoneticPr fontId="3"/>
  </si>
  <si>
    <t>6回目</t>
    <rPh sb="1" eb="3">
      <t>カイメ</t>
    </rPh>
    <phoneticPr fontId="3"/>
  </si>
  <si>
    <t>H</t>
    <phoneticPr fontId="3"/>
  </si>
  <si>
    <t>I</t>
    <phoneticPr fontId="3"/>
  </si>
  <si>
    <t>J</t>
    <phoneticPr fontId="3"/>
  </si>
  <si>
    <t>K</t>
    <phoneticPr fontId="3"/>
  </si>
  <si>
    <t>L</t>
    <phoneticPr fontId="3"/>
  </si>
  <si>
    <t>M</t>
    <phoneticPr fontId="3"/>
  </si>
  <si>
    <t>N</t>
    <phoneticPr fontId="3"/>
  </si>
  <si>
    <t>O</t>
    <phoneticPr fontId="3"/>
  </si>
  <si>
    <t>P</t>
    <phoneticPr fontId="3"/>
  </si>
  <si>
    <t>Q</t>
    <phoneticPr fontId="3"/>
  </si>
  <si>
    <t>R</t>
    <phoneticPr fontId="3"/>
  </si>
  <si>
    <t>S</t>
    <phoneticPr fontId="3"/>
  </si>
  <si>
    <t>F</t>
    <phoneticPr fontId="3"/>
  </si>
  <si>
    <t>SIMD_fl_load_instructions</t>
  </si>
  <si>
    <t>SIMD_fl_store_instructions</t>
  </si>
  <si>
    <t>CPU clock</t>
    <phoneticPr fontId="3"/>
  </si>
  <si>
    <t>B</t>
    <phoneticPr fontId="3"/>
  </si>
  <si>
    <t>C</t>
    <phoneticPr fontId="3"/>
  </si>
  <si>
    <t>D</t>
    <phoneticPr fontId="3"/>
  </si>
  <si>
    <t>E</t>
    <phoneticPr fontId="3"/>
  </si>
  <si>
    <t>G</t>
    <phoneticPr fontId="3"/>
  </si>
  <si>
    <t>A</t>
    <phoneticPr fontId="3"/>
  </si>
  <si>
    <t>並列数</t>
    <rPh sb="0" eb="2">
      <t>ヘイレツ</t>
    </rPh>
    <rPh sb="2" eb="3">
      <t>スウ</t>
    </rPh>
    <phoneticPr fontId="3"/>
  </si>
  <si>
    <t>行番号</t>
    <rPh sb="0" eb="1">
      <t>ギョウ</t>
    </rPh>
    <rPh sb="1" eb="3">
      <t>バンゴウ</t>
    </rPh>
    <phoneticPr fontId="3"/>
  </si>
  <si>
    <t>Sheet名</t>
    <rPh sb="5" eb="6">
      <t>メイ</t>
    </rPh>
    <phoneticPr fontId="3"/>
  </si>
  <si>
    <t>sleep_cycle</t>
    <phoneticPr fontId="3"/>
  </si>
  <si>
    <t>L1I_miss</t>
  </si>
  <si>
    <t>unpack_sxar2</t>
  </si>
  <si>
    <t>7回目</t>
    <rPh sb="1" eb="3">
      <t>カイメ</t>
    </rPh>
    <phoneticPr fontId="3"/>
  </si>
  <si>
    <t>実行効率</t>
    <rPh sb="0" eb="2">
      <t>ジッコウ</t>
    </rPh>
    <rPh sb="2" eb="4">
      <t>コウリツ</t>
    </rPh>
    <phoneticPr fontId="3"/>
  </si>
  <si>
    <t>命令率(Load,Store)</t>
    <rPh sb="0" eb="2">
      <t>メイレイ</t>
    </rPh>
    <rPh sb="2" eb="3">
      <t>リツ</t>
    </rPh>
    <phoneticPr fontId="3"/>
  </si>
  <si>
    <t>命令率(浮動小数点命令)</t>
    <rPh sb="0" eb="2">
      <t>メイレイ</t>
    </rPh>
    <rPh sb="2" eb="3">
      <t>リツ</t>
    </rPh>
    <phoneticPr fontId="3"/>
  </si>
  <si>
    <t>命令率(FMA命令)</t>
    <phoneticPr fontId="3"/>
  </si>
  <si>
    <t>命令数</t>
    <rPh sb="0" eb="2">
      <t>メイレイ</t>
    </rPh>
    <rPh sb="2" eb="3">
      <t>スウ</t>
    </rPh>
    <phoneticPr fontId="3"/>
  </si>
  <si>
    <t>MFLOPS</t>
  </si>
  <si>
    <t>MFLOPS
peak比</t>
    <rPh sb="11" eb="12">
      <t>ヒ</t>
    </rPh>
    <phoneticPr fontId="3"/>
  </si>
  <si>
    <t>MIPS
peak比</t>
    <rPh sb="9" eb="10">
      <t>ヒ</t>
    </rPh>
    <phoneticPr fontId="3"/>
  </si>
  <si>
    <t>メモリ
スループット</t>
    <phoneticPr fontId="3"/>
  </si>
  <si>
    <t>L2$
スループット</t>
    <phoneticPr fontId="3"/>
  </si>
  <si>
    <t>Load/Store
(/総命令) simd</t>
    <rPh sb="13" eb="14">
      <t>ソウ</t>
    </rPh>
    <rPh sb="14" eb="16">
      <t>メイレイ</t>
    </rPh>
    <phoneticPr fontId="1"/>
  </si>
  <si>
    <t>Load/Store
(/総命令) nosimd</t>
    <rPh sb="13" eb="14">
      <t>ソウ</t>
    </rPh>
    <rPh sb="14" eb="16">
      <t>メイレイ</t>
    </rPh>
    <phoneticPr fontId="1"/>
  </si>
  <si>
    <t>浮動小数点命令
(/総命令)</t>
    <rPh sb="0" eb="2">
      <t>フドウ</t>
    </rPh>
    <rPh sb="2" eb="4">
      <t>ショウスウ</t>
    </rPh>
    <rPh sb="4" eb="5">
      <t>テン</t>
    </rPh>
    <rPh sb="5" eb="7">
      <t>メイレイ</t>
    </rPh>
    <phoneticPr fontId="1"/>
  </si>
  <si>
    <t>浮動小数点命令
(/総命令)simd</t>
    <rPh sb="10" eb="11">
      <t>ソウ</t>
    </rPh>
    <rPh sb="11" eb="13">
      <t>メイレイ</t>
    </rPh>
    <phoneticPr fontId="3"/>
  </si>
  <si>
    <t>浮動小数点命令
(/総命令)nosimd</t>
    <rPh sb="10" eb="11">
      <t>ソウ</t>
    </rPh>
    <rPh sb="11" eb="13">
      <t>メイレイ</t>
    </rPh>
    <phoneticPr fontId="3"/>
  </si>
  <si>
    <t>fma命令
(/総命令)</t>
    <rPh sb="3" eb="5">
      <t>メイレイ</t>
    </rPh>
    <rPh sb="8" eb="9">
      <t>ソウ</t>
    </rPh>
    <rPh sb="9" eb="11">
      <t>メイレイ</t>
    </rPh>
    <phoneticPr fontId="3"/>
  </si>
  <si>
    <t>fma命令
(/総命令)simd</t>
    <phoneticPr fontId="3"/>
  </si>
  <si>
    <t>fma命令
(/総命令)nosimd</t>
    <phoneticPr fontId="3"/>
  </si>
  <si>
    <t>総命令数</t>
    <rPh sb="0" eb="1">
      <t>ソウ</t>
    </rPh>
    <rPh sb="1" eb="4">
      <t>メイレイスウ</t>
    </rPh>
    <phoneticPr fontId="3"/>
  </si>
  <si>
    <t>分岐命令数</t>
    <rPh sb="0" eb="2">
      <t>ブンキ</t>
    </rPh>
    <rPh sb="2" eb="5">
      <t>メイレイスウ</t>
    </rPh>
    <phoneticPr fontId="3"/>
  </si>
  <si>
    <t>prefetch命令数</t>
    <rPh sb="8" eb="11">
      <t>メイレイスウ</t>
    </rPh>
    <phoneticPr fontId="3"/>
  </si>
  <si>
    <t>浮動小数点命令数</t>
    <rPh sb="0" eb="2">
      <t>フドウ</t>
    </rPh>
    <rPh sb="2" eb="4">
      <t>ショウスウ</t>
    </rPh>
    <rPh sb="4" eb="5">
      <t>テン</t>
    </rPh>
    <rPh sb="5" eb="7">
      <t>メイレイ</t>
    </rPh>
    <rPh sb="7" eb="8">
      <t>スウ</t>
    </rPh>
    <phoneticPr fontId="3"/>
  </si>
  <si>
    <t>fma命令数</t>
    <rPh sb="3" eb="5">
      <t>メイレイ</t>
    </rPh>
    <rPh sb="5" eb="6">
      <t>スウ</t>
    </rPh>
    <phoneticPr fontId="3"/>
  </si>
  <si>
    <t>load_store命令数</t>
    <rPh sb="10" eb="13">
      <t>メイレイスウ</t>
    </rPh>
    <phoneticPr fontId="3"/>
  </si>
  <si>
    <t>SIMD
load_store命令数</t>
    <rPh sb="15" eb="18">
      <t>メイレイスウ</t>
    </rPh>
    <phoneticPr fontId="3"/>
  </si>
  <si>
    <t>整数 load</t>
    <rPh sb="0" eb="2">
      <t>セイスウ</t>
    </rPh>
    <phoneticPr fontId="3"/>
  </si>
  <si>
    <t>整数 store</t>
    <rPh sb="0" eb="2">
      <t>セイスウ</t>
    </rPh>
    <phoneticPr fontId="3"/>
  </si>
  <si>
    <t>浮動小数点load</t>
    <rPh sb="0" eb="2">
      <t>フドウ</t>
    </rPh>
    <rPh sb="2" eb="4">
      <t>ショウスウ</t>
    </rPh>
    <rPh sb="4" eb="5">
      <t>テン</t>
    </rPh>
    <phoneticPr fontId="3"/>
  </si>
  <si>
    <t>浮動小数点store</t>
    <rPh sb="0" eb="2">
      <t>フドウ</t>
    </rPh>
    <rPh sb="2" eb="4">
      <t>ショウスウ</t>
    </rPh>
    <rPh sb="4" eb="5">
      <t>テン</t>
    </rPh>
    <phoneticPr fontId="3"/>
  </si>
  <si>
    <t>浮動小数点演算数</t>
    <rPh sb="0" eb="2">
      <t>フドウ</t>
    </rPh>
    <rPh sb="2" eb="4">
      <t>ショウスウ</t>
    </rPh>
    <rPh sb="4" eb="5">
      <t>テン</t>
    </rPh>
    <rPh sb="5" eb="7">
      <t>エンザン</t>
    </rPh>
    <rPh sb="7" eb="8">
      <t>スウ</t>
    </rPh>
    <phoneticPr fontId="3"/>
  </si>
  <si>
    <t>【test】7回実行</t>
    <rPh sb="7" eb="8">
      <t>カイ</t>
    </rPh>
    <rPh sb="8" eb="10">
      <t>ジッコウ</t>
    </rPh>
    <phoneticPr fontId="3"/>
  </si>
  <si>
    <t>バリア同期待ち</t>
    <rPh sb="3" eb="5">
      <t>ドウキ</t>
    </rPh>
    <rPh sb="5" eb="6">
      <t>マ</t>
    </rPh>
    <phoneticPr fontId="3"/>
  </si>
  <si>
    <t>L1I$ミス率</t>
    <rPh sb="6" eb="7">
      <t>リツ</t>
    </rPh>
    <phoneticPr fontId="3"/>
  </si>
  <si>
    <t>L1I$ミス数</t>
    <rPh sb="6" eb="7">
      <t>スウ</t>
    </rPh>
    <phoneticPr fontId="3"/>
  </si>
  <si>
    <t>L1D_miss_dm</t>
  </si>
  <si>
    <t>L1D_miss_pf</t>
  </si>
  <si>
    <t>L1D_miss_qpf</t>
  </si>
  <si>
    <t>single_sxar_commit</t>
    <phoneticPr fontId="3"/>
  </si>
  <si>
    <t>cycle_counts</t>
    <phoneticPr fontId="3"/>
  </si>
  <si>
    <t>unpack_sxar1</t>
    <phoneticPr fontId="3"/>
  </si>
  <si>
    <t>op_stv_wait_swpf</t>
    <phoneticPr fontId="3"/>
  </si>
  <si>
    <t>L1D$ミス率</t>
    <rPh sb="6" eb="7">
      <t>リツ</t>
    </rPh>
    <phoneticPr fontId="3"/>
  </si>
  <si>
    <t>L1D$ミス数</t>
    <rPh sb="6" eb="7">
      <t>スウ</t>
    </rPh>
    <phoneticPr fontId="3"/>
  </si>
  <si>
    <t>SIMD命令率</t>
    <rPh sb="4" eb="6">
      <t>メイレイ</t>
    </rPh>
    <rPh sb="6" eb="7">
      <t>リツ</t>
    </rPh>
    <phoneticPr fontId="3"/>
  </si>
  <si>
    <t>SIMD命令
(/SIMD対象命令）</t>
    <rPh sb="4" eb="6">
      <t>メイレイ</t>
    </rPh>
    <rPh sb="13" eb="15">
      <t>タイショウ</t>
    </rPh>
    <rPh sb="15" eb="17">
      <t>メイレイ</t>
    </rPh>
    <phoneticPr fontId="3"/>
  </si>
  <si>
    <t>SIMD演算命令
(/SIMD対象演算命令)</t>
    <rPh sb="4" eb="6">
      <t>エンザン</t>
    </rPh>
    <rPh sb="6" eb="8">
      <t>メイレイ</t>
    </rPh>
    <rPh sb="15" eb="17">
      <t>タイショウ</t>
    </rPh>
    <rPh sb="17" eb="19">
      <t>エンザン</t>
    </rPh>
    <rPh sb="19" eb="21">
      <t>メイレイ</t>
    </rPh>
    <phoneticPr fontId="3"/>
  </si>
  <si>
    <t>SIMD命令
(/総命令)</t>
    <rPh sb="4" eb="6">
      <t>メイレイ</t>
    </rPh>
    <rPh sb="9" eb="10">
      <t>ソウ</t>
    </rPh>
    <rPh sb="10" eb="12">
      <t>メイレイ</t>
    </rPh>
    <phoneticPr fontId="3"/>
  </si>
  <si>
    <t>分岐命令
(/総命令)</t>
    <rPh sb="0" eb="2">
      <t>ブンキ</t>
    </rPh>
    <rPh sb="2" eb="4">
      <t>メイレイ</t>
    </rPh>
    <rPh sb="7" eb="8">
      <t>ソウ</t>
    </rPh>
    <rPh sb="8" eb="10">
      <t>メイレイ</t>
    </rPh>
    <phoneticPr fontId="3"/>
  </si>
  <si>
    <t>prefetch命令
(/総命令)</t>
    <phoneticPr fontId="3"/>
  </si>
  <si>
    <t>命令率(その他)</t>
    <rPh sb="0" eb="2">
      <t>メイレイ</t>
    </rPh>
    <rPh sb="2" eb="3">
      <t>リツ</t>
    </rPh>
    <rPh sb="6" eb="7">
      <t>タ</t>
    </rPh>
    <phoneticPr fontId="3"/>
  </si>
  <si>
    <t>その他</t>
    <rPh sb="2" eb="3">
      <t>タ</t>
    </rPh>
    <phoneticPr fontId="3"/>
  </si>
  <si>
    <t>SIMD浮動小数点命令数</t>
    <rPh sb="4" eb="6">
      <t>フドウ</t>
    </rPh>
    <rPh sb="6" eb="8">
      <t>ショウスウ</t>
    </rPh>
    <rPh sb="8" eb="9">
      <t>テン</t>
    </rPh>
    <rPh sb="9" eb="11">
      <t>メイレイ</t>
    </rPh>
    <rPh sb="11" eb="12">
      <t>スウ</t>
    </rPh>
    <phoneticPr fontId="3"/>
  </si>
  <si>
    <t>SIMDfma命令数</t>
    <rPh sb="7" eb="9">
      <t>メイレイ</t>
    </rPh>
    <rPh sb="9" eb="10">
      <t>スウ</t>
    </rPh>
    <phoneticPr fontId="3"/>
  </si>
  <si>
    <t>SIMD浮動小数点load</t>
    <rPh sb="4" eb="6">
      <t>フドウ</t>
    </rPh>
    <rPh sb="6" eb="8">
      <t>ショウスウ</t>
    </rPh>
    <rPh sb="8" eb="9">
      <t>テン</t>
    </rPh>
    <phoneticPr fontId="3"/>
  </si>
  <si>
    <t>SIMD浮動小数点store</t>
    <rPh sb="4" eb="6">
      <t>フドウ</t>
    </rPh>
    <rPh sb="6" eb="8">
      <t>ショウスウ</t>
    </rPh>
    <rPh sb="8" eb="9">
      <t>テン</t>
    </rPh>
    <phoneticPr fontId="3"/>
  </si>
  <si>
    <t>Cache</t>
    <phoneticPr fontId="3"/>
  </si>
  <si>
    <t>Performance</t>
    <phoneticPr fontId="3"/>
  </si>
  <si>
    <t>SIMD</t>
    <phoneticPr fontId="3"/>
  </si>
  <si>
    <t>実行時間 (sec)</t>
    <rPh sb="0" eb="2">
      <t>ジッコウ</t>
    </rPh>
    <rPh sb="2" eb="4">
      <t>ジカン</t>
    </rPh>
    <phoneticPr fontId="1"/>
  </si>
  <si>
    <t>有効総命令数</t>
    <rPh sb="0" eb="2">
      <t>ユウコウ</t>
    </rPh>
    <rPh sb="2" eb="3">
      <t>ソウ</t>
    </rPh>
    <rPh sb="3" eb="5">
      <t>メイレイ</t>
    </rPh>
    <rPh sb="5" eb="6">
      <t>スウ</t>
    </rPh>
    <phoneticPr fontId="3"/>
  </si>
  <si>
    <t>L1D ミス dm率
(/L1D ミス数)</t>
    <rPh sb="9" eb="10">
      <t>リツ</t>
    </rPh>
    <rPh sb="19" eb="20">
      <t>スウ</t>
    </rPh>
    <phoneticPr fontId="3"/>
  </si>
  <si>
    <t>L1I ミス率
(/有効総命令数)</t>
    <rPh sb="6" eb="7">
      <t>リツ</t>
    </rPh>
    <phoneticPr fontId="3"/>
  </si>
  <si>
    <t>L1D ミス数</t>
    <rPh sb="6" eb="7">
      <t>スウ</t>
    </rPh>
    <phoneticPr fontId="3"/>
  </si>
  <si>
    <t>L1D ミス hwpf 率
(/L1D ミス数)</t>
    <rPh sb="12" eb="13">
      <t>リツ</t>
    </rPh>
    <rPh sb="22" eb="23">
      <t>スウ</t>
    </rPh>
    <phoneticPr fontId="3"/>
  </si>
  <si>
    <t>L1D ミス swpf 率
(/L1D ミス数)</t>
    <rPh sb="12" eb="13">
      <t>リツ</t>
    </rPh>
    <rPh sb="22" eb="23">
      <t>スウ</t>
    </rPh>
    <phoneticPr fontId="3"/>
  </si>
  <si>
    <t>L2 ミス数</t>
    <rPh sb="5" eb="6">
      <t>スウ</t>
    </rPh>
    <phoneticPr fontId="3"/>
  </si>
  <si>
    <t>L2 ミス dm 率
(/L2 ミス数)</t>
    <rPh sb="9" eb="10">
      <t>リツ</t>
    </rPh>
    <rPh sb="18" eb="19">
      <t>スウ</t>
    </rPh>
    <phoneticPr fontId="3"/>
  </si>
  <si>
    <t>L2 ミス pf 率
(/L2 ミス数)</t>
    <rPh sb="9" eb="10">
      <t>リツ</t>
    </rPh>
    <rPh sb="18" eb="19">
      <t>スウ</t>
    </rPh>
    <phoneticPr fontId="3"/>
  </si>
  <si>
    <t>SIMD命令率
(/有効総命令数)</t>
    <rPh sb="4" eb="6">
      <t>メイレイ</t>
    </rPh>
    <rPh sb="6" eb="7">
      <t>リツ</t>
    </rPh>
    <rPh sb="10" eb="12">
      <t>ユウコウ</t>
    </rPh>
    <rPh sb="12" eb="13">
      <t>ソウ</t>
    </rPh>
    <rPh sb="13" eb="15">
      <t>メイレイ</t>
    </rPh>
    <rPh sb="15" eb="16">
      <t>スウ</t>
    </rPh>
    <phoneticPr fontId="3"/>
  </si>
  <si>
    <t>グラフタイトル</t>
    <phoneticPr fontId="3"/>
  </si>
  <si>
    <t>MFLOPS:</t>
    <phoneticPr fontId="3"/>
  </si>
  <si>
    <t>X</t>
    <phoneticPr fontId="3"/>
  </si>
  <si>
    <t>グラフデータ(SEC)</t>
    <phoneticPr fontId="3"/>
  </si>
  <si>
    <t>A</t>
    <phoneticPr fontId="3"/>
  </si>
  <si>
    <t>B</t>
    <phoneticPr fontId="3"/>
  </si>
  <si>
    <t>C</t>
    <phoneticPr fontId="3"/>
  </si>
  <si>
    <t>D</t>
    <phoneticPr fontId="3"/>
  </si>
  <si>
    <t>E</t>
    <phoneticPr fontId="3"/>
  </si>
  <si>
    <t>F</t>
    <phoneticPr fontId="3"/>
  </si>
  <si>
    <t>G</t>
    <phoneticPr fontId="3"/>
  </si>
  <si>
    <t>H</t>
    <phoneticPr fontId="3"/>
  </si>
  <si>
    <t>I</t>
    <phoneticPr fontId="3"/>
  </si>
  <si>
    <t>J</t>
    <phoneticPr fontId="3"/>
  </si>
  <si>
    <t>K</t>
    <phoneticPr fontId="3"/>
  </si>
  <si>
    <t>L</t>
    <phoneticPr fontId="3"/>
  </si>
  <si>
    <t>M</t>
    <phoneticPr fontId="3"/>
  </si>
  <si>
    <t>N</t>
    <phoneticPr fontId="3"/>
  </si>
  <si>
    <t>O</t>
    <phoneticPr fontId="3"/>
  </si>
  <si>
    <t>P</t>
    <phoneticPr fontId="3"/>
  </si>
  <si>
    <t>Q</t>
    <phoneticPr fontId="3"/>
  </si>
  <si>
    <t>R</t>
    <phoneticPr fontId="3"/>
  </si>
  <si>
    <t>S</t>
    <phoneticPr fontId="3"/>
  </si>
  <si>
    <t>T</t>
    <phoneticPr fontId="3"/>
  </si>
  <si>
    <t>U</t>
    <phoneticPr fontId="3"/>
  </si>
  <si>
    <t>浮動小数点ロードキャッシュアクセス待ち</t>
  </si>
  <si>
    <t>その他 命令数</t>
    <rPh sb="2" eb="3">
      <t>ホカ</t>
    </rPh>
    <rPh sb="4" eb="6">
      <t>メイレイ</t>
    </rPh>
    <rPh sb="6" eb="7">
      <t>スウ</t>
    </rPh>
    <phoneticPr fontId="3"/>
  </si>
  <si>
    <t>浮動小数点演算命令数</t>
    <rPh sb="0" eb="2">
      <t>フドウ</t>
    </rPh>
    <rPh sb="2" eb="4">
      <t>ショウスウ</t>
    </rPh>
    <rPh sb="4" eb="5">
      <t>テン</t>
    </rPh>
    <rPh sb="5" eb="7">
      <t>エンザン</t>
    </rPh>
    <rPh sb="7" eb="9">
      <t>メイレイ</t>
    </rPh>
    <rPh sb="9" eb="10">
      <t>スウ</t>
    </rPh>
    <phoneticPr fontId="3"/>
  </si>
  <si>
    <t>SIMD浮動小数点
演算命令率
(/有効総命令数)</t>
    <rPh sb="4" eb="6">
      <t>フドウ</t>
    </rPh>
    <rPh sb="6" eb="8">
      <t>ショウスウ</t>
    </rPh>
    <rPh sb="8" eb="9">
      <t>テン</t>
    </rPh>
    <rPh sb="10" eb="12">
      <t>エンザン</t>
    </rPh>
    <rPh sb="12" eb="14">
      <t>メイレイ</t>
    </rPh>
    <rPh sb="14" eb="15">
      <t>リツ</t>
    </rPh>
    <phoneticPr fontId="3"/>
  </si>
  <si>
    <t>浮動小数点
演算命令率
(/有効総命令数)</t>
    <rPh sb="0" eb="2">
      <t>フドウ</t>
    </rPh>
    <rPh sb="2" eb="4">
      <t>ショウスウ</t>
    </rPh>
    <rPh sb="4" eb="5">
      <t>テン</t>
    </rPh>
    <rPh sb="6" eb="8">
      <t>エンザン</t>
    </rPh>
    <rPh sb="8" eb="10">
      <t>メイレイ</t>
    </rPh>
    <rPh sb="10" eb="11">
      <t>リツ</t>
    </rPh>
    <phoneticPr fontId="3"/>
  </si>
  <si>
    <t>SIMD浮動小数点
積和演算命令率
(/有効総命令数)</t>
    <rPh sb="4" eb="6">
      <t>フドウ</t>
    </rPh>
    <rPh sb="6" eb="8">
      <t>ショウスウ</t>
    </rPh>
    <rPh sb="8" eb="9">
      <t>テン</t>
    </rPh>
    <rPh sb="10" eb="12">
      <t>セキワ</t>
    </rPh>
    <rPh sb="12" eb="14">
      <t>エンザン</t>
    </rPh>
    <rPh sb="14" eb="16">
      <t>メイレイ</t>
    </rPh>
    <rPh sb="16" eb="17">
      <t>リツ</t>
    </rPh>
    <phoneticPr fontId="3"/>
  </si>
  <si>
    <t>浮動小数点
積和演算命令率
(/有効総命令数)</t>
    <rPh sb="0" eb="2">
      <t>フドウ</t>
    </rPh>
    <rPh sb="2" eb="4">
      <t>ショウスウ</t>
    </rPh>
    <rPh sb="4" eb="5">
      <t>テン</t>
    </rPh>
    <rPh sb="6" eb="8">
      <t>セキワ</t>
    </rPh>
    <rPh sb="8" eb="10">
      <t>エンザン</t>
    </rPh>
    <rPh sb="10" eb="12">
      <t>メイレイ</t>
    </rPh>
    <rPh sb="12" eb="13">
      <t>リツ</t>
    </rPh>
    <phoneticPr fontId="3"/>
  </si>
  <si>
    <t>分岐命令率
(/有効総命令数)</t>
    <rPh sb="0" eb="2">
      <t>ブンキ</t>
    </rPh>
    <rPh sb="2" eb="4">
      <t>メイレイ</t>
    </rPh>
    <rPh sb="4" eb="5">
      <t>リツ</t>
    </rPh>
    <phoneticPr fontId="3"/>
  </si>
  <si>
    <t>その他 命令率
(/有効総命令数)</t>
    <rPh sb="2" eb="3">
      <t>ホカ</t>
    </rPh>
    <rPh sb="4" eb="6">
      <t>メイレイ</t>
    </rPh>
    <rPh sb="6" eb="7">
      <t>リツ</t>
    </rPh>
    <phoneticPr fontId="3"/>
  </si>
  <si>
    <t>SIMD浮動小数点
演算命令数</t>
    <rPh sb="4" eb="6">
      <t>フドウ</t>
    </rPh>
    <rPh sb="6" eb="8">
      <t>ショウスウ</t>
    </rPh>
    <rPh sb="8" eb="9">
      <t>テン</t>
    </rPh>
    <rPh sb="10" eb="12">
      <t>エンザン</t>
    </rPh>
    <rPh sb="12" eb="14">
      <t>メイレイ</t>
    </rPh>
    <phoneticPr fontId="3"/>
  </si>
  <si>
    <t>浮動小数点
演算命令数</t>
    <rPh sb="0" eb="2">
      <t>フドウ</t>
    </rPh>
    <rPh sb="2" eb="4">
      <t>ショウスウ</t>
    </rPh>
    <rPh sb="4" eb="5">
      <t>テン</t>
    </rPh>
    <rPh sb="6" eb="8">
      <t>エンザン</t>
    </rPh>
    <rPh sb="8" eb="10">
      <t>メイレイ</t>
    </rPh>
    <phoneticPr fontId="3"/>
  </si>
  <si>
    <t>SIMD浮動小数点
積和演算命令数</t>
    <rPh sb="4" eb="6">
      <t>フドウ</t>
    </rPh>
    <rPh sb="6" eb="8">
      <t>ショウスウ</t>
    </rPh>
    <rPh sb="8" eb="9">
      <t>テン</t>
    </rPh>
    <rPh sb="10" eb="12">
      <t>セキワ</t>
    </rPh>
    <rPh sb="12" eb="14">
      <t>エンザン</t>
    </rPh>
    <rPh sb="14" eb="16">
      <t>メイレイ</t>
    </rPh>
    <phoneticPr fontId="3"/>
  </si>
  <si>
    <t>浮動小数点
積和演算命令数</t>
    <rPh sb="0" eb="2">
      <t>フドウ</t>
    </rPh>
    <rPh sb="2" eb="4">
      <t>ショウスウ</t>
    </rPh>
    <rPh sb="4" eb="5">
      <t>テン</t>
    </rPh>
    <rPh sb="6" eb="8">
      <t>セキワ</t>
    </rPh>
    <rPh sb="8" eb="10">
      <t>エンザン</t>
    </rPh>
    <rPh sb="10" eb="12">
      <t>メイレイ</t>
    </rPh>
    <phoneticPr fontId="3"/>
  </si>
  <si>
    <t>Process</t>
    <phoneticPr fontId="3"/>
  </si>
  <si>
    <t>2/3命令コミット</t>
    <phoneticPr fontId="3"/>
  </si>
  <si>
    <t>プリフェッチ命令率
(/有効総命令数)</t>
    <rPh sb="6" eb="8">
      <t>メイレイ</t>
    </rPh>
    <rPh sb="8" eb="9">
      <t>リツ</t>
    </rPh>
    <phoneticPr fontId="3"/>
  </si>
  <si>
    <t>プリフェッチ命令数</t>
    <rPh sb="6" eb="8">
      <t>メイレイ</t>
    </rPh>
    <rPh sb="8" eb="9">
      <t>スウ</t>
    </rPh>
    <phoneticPr fontId="3"/>
  </si>
  <si>
    <t>分岐命令数</t>
    <rPh sb="0" eb="2">
      <t>ブンキ</t>
    </rPh>
    <rPh sb="2" eb="4">
      <t>メイレイ</t>
    </rPh>
    <rPh sb="4" eb="5">
      <t>スウ</t>
    </rPh>
    <phoneticPr fontId="3"/>
  </si>
  <si>
    <t>SIMD浮動小数点
ロード命令率
(/有効総命令数)</t>
    <rPh sb="4" eb="6">
      <t>フドウ</t>
    </rPh>
    <rPh sb="6" eb="8">
      <t>ショウスウ</t>
    </rPh>
    <rPh sb="8" eb="9">
      <t>テン</t>
    </rPh>
    <rPh sb="13" eb="15">
      <t>メイレイ</t>
    </rPh>
    <rPh sb="15" eb="16">
      <t>リツ</t>
    </rPh>
    <phoneticPr fontId="3"/>
  </si>
  <si>
    <t>浮動小数点
ロード命令率
(/有効総命令数)</t>
    <rPh sb="0" eb="2">
      <t>フドウ</t>
    </rPh>
    <rPh sb="2" eb="4">
      <t>ショウスウ</t>
    </rPh>
    <rPh sb="4" eb="5">
      <t>テン</t>
    </rPh>
    <rPh sb="9" eb="11">
      <t>メイレイ</t>
    </rPh>
    <rPh sb="11" eb="12">
      <t>リツ</t>
    </rPh>
    <phoneticPr fontId="3"/>
  </si>
  <si>
    <t>SIMD浮動小数点
ストア命令率
(/有効総命令数)</t>
    <rPh sb="4" eb="6">
      <t>フドウ</t>
    </rPh>
    <rPh sb="6" eb="8">
      <t>ショウスウ</t>
    </rPh>
    <rPh sb="8" eb="9">
      <t>テン</t>
    </rPh>
    <rPh sb="13" eb="15">
      <t>メイレイ</t>
    </rPh>
    <rPh sb="15" eb="16">
      <t>リツ</t>
    </rPh>
    <phoneticPr fontId="3"/>
  </si>
  <si>
    <t>浮動小数点
ストア命令率
(/有効総命令数)</t>
    <rPh sb="0" eb="2">
      <t>フドウ</t>
    </rPh>
    <rPh sb="2" eb="4">
      <t>ショウスウ</t>
    </rPh>
    <rPh sb="4" eb="5">
      <t>テン</t>
    </rPh>
    <rPh sb="9" eb="11">
      <t>メイレイ</t>
    </rPh>
    <rPh sb="11" eb="12">
      <t>リツ</t>
    </rPh>
    <phoneticPr fontId="3"/>
  </si>
  <si>
    <t>整数
ストア命令率
(/有効総命令数)</t>
    <rPh sb="0" eb="2">
      <t>セイスウ</t>
    </rPh>
    <rPh sb="6" eb="8">
      <t>メイレイ</t>
    </rPh>
    <rPh sb="8" eb="9">
      <t>リツ</t>
    </rPh>
    <phoneticPr fontId="3"/>
  </si>
  <si>
    <t>整数
ロード命令率
(/有効総命令数)</t>
    <rPh sb="0" eb="2">
      <t>セイスウ</t>
    </rPh>
    <rPh sb="6" eb="8">
      <t>メイレイ</t>
    </rPh>
    <rPh sb="8" eb="9">
      <t>リツ</t>
    </rPh>
    <phoneticPr fontId="3"/>
  </si>
  <si>
    <t>ロード・ストア命令数</t>
    <rPh sb="7" eb="9">
      <t>メイレイ</t>
    </rPh>
    <rPh sb="9" eb="10">
      <t>スウ</t>
    </rPh>
    <phoneticPr fontId="3"/>
  </si>
  <si>
    <t>SIMD浮動小数点
ロード命令数</t>
    <rPh sb="4" eb="6">
      <t>フドウ</t>
    </rPh>
    <rPh sb="6" eb="8">
      <t>ショウスウ</t>
    </rPh>
    <rPh sb="8" eb="9">
      <t>テン</t>
    </rPh>
    <rPh sb="13" eb="15">
      <t>メイレイ</t>
    </rPh>
    <rPh sb="15" eb="16">
      <t>スウ</t>
    </rPh>
    <phoneticPr fontId="3"/>
  </si>
  <si>
    <t>浮動小数点
ロード命令数</t>
    <rPh sb="0" eb="2">
      <t>フドウ</t>
    </rPh>
    <rPh sb="2" eb="4">
      <t>ショウスウ</t>
    </rPh>
    <rPh sb="4" eb="5">
      <t>テン</t>
    </rPh>
    <rPh sb="9" eb="11">
      <t>メイレイ</t>
    </rPh>
    <rPh sb="11" eb="12">
      <t>スウ</t>
    </rPh>
    <phoneticPr fontId="3"/>
  </si>
  <si>
    <t>SIMD浮動小数点
ストア命令数</t>
    <rPh sb="4" eb="6">
      <t>フドウ</t>
    </rPh>
    <rPh sb="6" eb="8">
      <t>ショウスウ</t>
    </rPh>
    <rPh sb="8" eb="9">
      <t>テン</t>
    </rPh>
    <rPh sb="13" eb="15">
      <t>メイレイ</t>
    </rPh>
    <phoneticPr fontId="3"/>
  </si>
  <si>
    <t>浮動小数点
ストア命令数</t>
    <rPh sb="0" eb="2">
      <t>フドウ</t>
    </rPh>
    <rPh sb="2" eb="4">
      <t>ショウスウ</t>
    </rPh>
    <rPh sb="4" eb="5">
      <t>テン</t>
    </rPh>
    <rPh sb="9" eb="11">
      <t>メイレイ</t>
    </rPh>
    <phoneticPr fontId="3"/>
  </si>
  <si>
    <t>整数
ストア命令数</t>
    <rPh sb="0" eb="2">
      <t>セイスウ</t>
    </rPh>
    <rPh sb="6" eb="8">
      <t>メイレイ</t>
    </rPh>
    <phoneticPr fontId="3"/>
  </si>
  <si>
    <t>SIMDロード命令率
(/SIMD対象ロード命令数)</t>
    <rPh sb="7" eb="9">
      <t>メイレイ</t>
    </rPh>
    <rPh sb="9" eb="10">
      <t>リツ</t>
    </rPh>
    <rPh sb="17" eb="19">
      <t>タイショウ</t>
    </rPh>
    <rPh sb="22" eb="24">
      <t>メイレイ</t>
    </rPh>
    <rPh sb="24" eb="25">
      <t>スウ</t>
    </rPh>
    <phoneticPr fontId="3"/>
  </si>
  <si>
    <t>SIMDストア命令率
(/SIMD対象ストア命令数)</t>
    <rPh sb="7" eb="9">
      <t>メイレイ</t>
    </rPh>
    <rPh sb="9" eb="10">
      <t>リツ</t>
    </rPh>
    <rPh sb="17" eb="19">
      <t>タイショウ</t>
    </rPh>
    <rPh sb="22" eb="24">
      <t>メイレイ</t>
    </rPh>
    <rPh sb="24" eb="25">
      <t>スウ</t>
    </rPh>
    <phoneticPr fontId="3"/>
  </si>
  <si>
    <t>整数
ロード命令数</t>
    <rPh sb="0" eb="2">
      <t>セイスウ</t>
    </rPh>
    <rPh sb="6" eb="8">
      <t>メイレイ</t>
    </rPh>
    <phoneticPr fontId="3"/>
  </si>
  <si>
    <t>SIMDst命令
(/SIMD対象st命令)</t>
    <rPh sb="6" eb="8">
      <t>メイレイ</t>
    </rPh>
    <rPh sb="15" eb="17">
      <t>タイショウ</t>
    </rPh>
    <rPh sb="19" eb="21">
      <t>メイレイ</t>
    </rPh>
    <phoneticPr fontId="3"/>
  </si>
  <si>
    <t>SIMDld命令
(/SIMD対象ld命令)</t>
    <rPh sb="6" eb="8">
      <t>メイレイ</t>
    </rPh>
    <rPh sb="15" eb="17">
      <t>タイショウ</t>
    </rPh>
    <rPh sb="19" eb="21">
      <t>メイレイ</t>
    </rPh>
    <phoneticPr fontId="3"/>
  </si>
  <si>
    <t>Graph (sec)</t>
    <phoneticPr fontId="3"/>
  </si>
  <si>
    <t>時間グラフ内訳</t>
    <rPh sb="0" eb="2">
      <t>ジカン</t>
    </rPh>
    <rPh sb="5" eb="7">
      <t>ウチワケ</t>
    </rPh>
    <phoneticPr fontId="3"/>
  </si>
  <si>
    <t>合計</t>
    <rPh sb="0" eb="2">
      <t>ゴウケイ</t>
    </rPh>
    <phoneticPr fontId="3"/>
  </si>
  <si>
    <t>時間グラフ内訳
割合 (%)</t>
    <rPh sb="0" eb="2">
      <t>ジカン</t>
    </rPh>
    <rPh sb="5" eb="7">
      <t>ウチワケ</t>
    </rPh>
    <rPh sb="8" eb="10">
      <t>ワリアイ</t>
    </rPh>
    <phoneticPr fontId="3"/>
  </si>
  <si>
    <t>バリア同期待ち</t>
    <phoneticPr fontId="3"/>
  </si>
  <si>
    <t>data_Kcomputer</t>
  </si>
  <si>
    <t>命令率</t>
    <rPh sb="0" eb="2">
      <t>メイレイ</t>
    </rPh>
    <rPh sb="2" eb="3">
      <t>リツ</t>
    </rPh>
    <phoneticPr fontId="3"/>
  </si>
  <si>
    <r>
      <t xml:space="preserve">L1D ミス率
</t>
    </r>
    <r>
      <rPr>
        <sz val="11"/>
        <rFont val="ＭＳ Ｐゴシック"/>
        <family val="3"/>
        <charset val="128"/>
      </rPr>
      <t>(/ロード・ストア数)</t>
    </r>
    <rPh sb="6" eb="7">
      <t>リツ</t>
    </rPh>
    <phoneticPr fontId="3"/>
  </si>
  <si>
    <t>ロード・ストア数</t>
    <phoneticPr fontId="3"/>
  </si>
  <si>
    <t>メモリスループット
(GB/sec)</t>
    <phoneticPr fontId="3"/>
  </si>
  <si>
    <t>L2 スループット
(GB/sec)</t>
    <phoneticPr fontId="3"/>
  </si>
  <si>
    <t>load_store数</t>
    <rPh sb="10" eb="11">
      <t>スウ</t>
    </rPh>
    <phoneticPr fontId="3"/>
  </si>
  <si>
    <t>L2 ミス率
(/ロード・ストア数)</t>
    <rPh sb="5" eb="6">
      <t>リツ</t>
    </rPh>
    <rPh sb="16" eb="17">
      <t>スウ</t>
    </rPh>
    <phoneticPr fontId="3"/>
  </si>
  <si>
    <t>μDTLB ミス率
(/ロード・ストア数)</t>
    <rPh sb="8" eb="9">
      <t>リツ</t>
    </rPh>
    <rPh sb="19" eb="20">
      <t>スウ</t>
    </rPh>
    <phoneticPr fontId="3"/>
  </si>
  <si>
    <t>mDTLB ミス率
(/ロード・ストア数)</t>
    <rPh sb="8" eb="9">
      <t>リツ</t>
    </rPh>
    <rPh sb="19" eb="20">
      <t>スウ</t>
    </rPh>
    <phoneticPr fontId="3"/>
  </si>
  <si>
    <t>1回目</t>
    <rPh sb="1" eb="3">
      <t>カイメ</t>
    </rPh>
    <phoneticPr fontId="3"/>
  </si>
  <si>
    <t>実行時間(秒)</t>
    <rPh sb="0" eb="2">
      <t>ジッコウ</t>
    </rPh>
    <rPh sb="2" eb="4">
      <t>ジカン</t>
    </rPh>
    <rPh sb="5" eb="6">
      <t>ビョウ</t>
    </rPh>
    <phoneticPr fontId="3"/>
  </si>
  <si>
    <t>浮動小数点演算
ピーク比</t>
    <rPh sb="0" eb="2">
      <t>フドウ</t>
    </rPh>
    <rPh sb="2" eb="4">
      <t>ショウスウ</t>
    </rPh>
    <rPh sb="4" eb="5">
      <t>テン</t>
    </rPh>
    <rPh sb="5" eb="7">
      <t>エンザン</t>
    </rPh>
    <rPh sb="11" eb="12">
      <t>ヒ</t>
    </rPh>
    <phoneticPr fontId="1"/>
  </si>
  <si>
    <t>実行時間 (sec)</t>
    <phoneticPr fontId="3"/>
  </si>
  <si>
    <t>浮動小数点ﾛｰﾄﾞ
ﾒﾓﾘｱｸｾｽ待ち</t>
    <rPh sb="17" eb="18">
      <t>マ</t>
    </rPh>
    <phoneticPr fontId="3"/>
  </si>
  <si>
    <t>浮動小数点ﾛｰﾄﾞ
ｷｬｯｼｭｱｸｾｽ待ち</t>
    <rPh sb="19" eb="20">
      <t>マ</t>
    </rPh>
    <phoneticPr fontId="3"/>
  </si>
  <si>
    <t>整数ﾛｰﾄﾞ
ﾒﾓﾘｱｸｾｽ待ち</t>
    <rPh sb="14" eb="15">
      <t>マ</t>
    </rPh>
    <phoneticPr fontId="3"/>
  </si>
  <si>
    <t>整数ﾛｰﾄﾞ
ｷｬｯｼｭｱｸｾｽ待ち</t>
    <rPh sb="16" eb="17">
      <t>マ</t>
    </rPh>
    <phoneticPr fontId="3"/>
  </si>
  <si>
    <t>整数レジスタ
書き込み制約</t>
    <phoneticPr fontId="3"/>
  </si>
  <si>
    <t>浮動小数点
演算数</t>
    <rPh sb="0" eb="2">
      <t>フドウ</t>
    </rPh>
    <rPh sb="2" eb="4">
      <t>ショウスウ</t>
    </rPh>
    <rPh sb="4" eb="5">
      <t>テン</t>
    </rPh>
    <rPh sb="6" eb="8">
      <t>エンザン</t>
    </rPh>
    <rPh sb="8" eb="9">
      <t>スウ</t>
    </rPh>
    <phoneticPr fontId="3"/>
  </si>
  <si>
    <t>ロード・ストア命令率</t>
    <rPh sb="7" eb="9">
      <t>メイレイ</t>
    </rPh>
    <rPh sb="9" eb="10">
      <t>リツ</t>
    </rPh>
    <phoneticPr fontId="3"/>
  </si>
  <si>
    <t>浮動小数点演算命令率</t>
    <rPh sb="0" eb="2">
      <t>フドウ</t>
    </rPh>
    <rPh sb="2" eb="4">
      <t>ショウスウ</t>
    </rPh>
    <rPh sb="4" eb="5">
      <t>テン</t>
    </rPh>
    <rPh sb="5" eb="7">
      <t>エンザン</t>
    </rPh>
    <rPh sb="7" eb="9">
      <t>メイレイ</t>
    </rPh>
    <rPh sb="9" eb="10">
      <t>リツ</t>
    </rPh>
    <phoneticPr fontId="3"/>
  </si>
  <si>
    <t>プリフェッチ命令率</t>
    <rPh sb="6" eb="8">
      <t>メイレイ</t>
    </rPh>
    <rPh sb="8" eb="9">
      <t>リツ</t>
    </rPh>
    <phoneticPr fontId="3"/>
  </si>
  <si>
    <t>分岐命令率</t>
    <rPh sb="0" eb="2">
      <t>ブンキ</t>
    </rPh>
    <rPh sb="2" eb="4">
      <t>メイレイ</t>
    </rPh>
    <rPh sb="4" eb="5">
      <t>リツ</t>
    </rPh>
    <phoneticPr fontId="3"/>
  </si>
  <si>
    <t>その他 命令率</t>
    <rPh sb="2" eb="3">
      <t>ホカ</t>
    </rPh>
    <rPh sb="4" eb="6">
      <t>メイレイ</t>
    </rPh>
    <rPh sb="6" eb="7">
      <t>リツ</t>
    </rPh>
    <phoneticPr fontId="3"/>
  </si>
  <si>
    <t>有効総命令率</t>
    <rPh sb="0" eb="2">
      <t>ユウコウ</t>
    </rPh>
    <rPh sb="2" eb="3">
      <t>ソウ</t>
    </rPh>
    <rPh sb="3" eb="5">
      <t>メイレイ</t>
    </rPh>
    <rPh sb="5" eb="6">
      <t>リツ</t>
    </rPh>
    <phoneticPr fontId="3"/>
  </si>
  <si>
    <t>SIMD浮動小数点
ロード命令率</t>
    <rPh sb="4" eb="6">
      <t>フドウ</t>
    </rPh>
    <rPh sb="6" eb="8">
      <t>ショウスウ</t>
    </rPh>
    <rPh sb="8" eb="9">
      <t>テン</t>
    </rPh>
    <rPh sb="13" eb="15">
      <t>メイレイ</t>
    </rPh>
    <rPh sb="15" eb="16">
      <t>リツ</t>
    </rPh>
    <phoneticPr fontId="3"/>
  </si>
  <si>
    <t>浮動小数点
ロード命令率</t>
    <rPh sb="0" eb="2">
      <t>フドウ</t>
    </rPh>
    <rPh sb="2" eb="4">
      <t>ショウスウ</t>
    </rPh>
    <rPh sb="4" eb="5">
      <t>テン</t>
    </rPh>
    <rPh sb="9" eb="11">
      <t>メイレイ</t>
    </rPh>
    <rPh sb="11" eb="12">
      <t>リツ</t>
    </rPh>
    <phoneticPr fontId="3"/>
  </si>
  <si>
    <t>SIMD浮動小数点
ストア命令率</t>
    <rPh sb="4" eb="6">
      <t>フドウ</t>
    </rPh>
    <rPh sb="6" eb="8">
      <t>ショウスウ</t>
    </rPh>
    <rPh sb="8" eb="9">
      <t>テン</t>
    </rPh>
    <rPh sb="13" eb="15">
      <t>メイレイ</t>
    </rPh>
    <rPh sb="15" eb="16">
      <t>リツ</t>
    </rPh>
    <phoneticPr fontId="3"/>
  </si>
  <si>
    <t>浮動小数点
ストア命令率</t>
    <rPh sb="0" eb="2">
      <t>フドウ</t>
    </rPh>
    <rPh sb="2" eb="4">
      <t>ショウスウ</t>
    </rPh>
    <rPh sb="4" eb="5">
      <t>テン</t>
    </rPh>
    <rPh sb="9" eb="11">
      <t>メイレイ</t>
    </rPh>
    <rPh sb="11" eb="12">
      <t>リツ</t>
    </rPh>
    <phoneticPr fontId="3"/>
  </si>
  <si>
    <t>整数
ロード命令率</t>
    <rPh sb="0" eb="2">
      <t>セイスウ</t>
    </rPh>
    <rPh sb="6" eb="8">
      <t>メイレイ</t>
    </rPh>
    <rPh sb="8" eb="9">
      <t>リツ</t>
    </rPh>
    <phoneticPr fontId="3"/>
  </si>
  <si>
    <t>整数
ストア命令率</t>
    <rPh sb="0" eb="2">
      <t>セイスウ</t>
    </rPh>
    <rPh sb="6" eb="8">
      <t>メイレイ</t>
    </rPh>
    <rPh sb="8" eb="9">
      <t>リツ</t>
    </rPh>
    <phoneticPr fontId="3"/>
  </si>
  <si>
    <t>SIMD浮動小数点
演算命令率</t>
    <rPh sb="4" eb="6">
      <t>フドウ</t>
    </rPh>
    <rPh sb="6" eb="8">
      <t>ショウスウ</t>
    </rPh>
    <rPh sb="8" eb="9">
      <t>テン</t>
    </rPh>
    <rPh sb="10" eb="12">
      <t>エンザン</t>
    </rPh>
    <rPh sb="12" eb="14">
      <t>メイレイ</t>
    </rPh>
    <rPh sb="14" eb="15">
      <t>リツ</t>
    </rPh>
    <phoneticPr fontId="3"/>
  </si>
  <si>
    <t>浮動小数点
演算命令率</t>
    <rPh sb="0" eb="2">
      <t>フドウ</t>
    </rPh>
    <rPh sb="2" eb="4">
      <t>ショウスウ</t>
    </rPh>
    <rPh sb="4" eb="5">
      <t>テン</t>
    </rPh>
    <rPh sb="6" eb="8">
      <t>エンザン</t>
    </rPh>
    <rPh sb="8" eb="10">
      <t>メイレイ</t>
    </rPh>
    <rPh sb="10" eb="11">
      <t>リツ</t>
    </rPh>
    <phoneticPr fontId="3"/>
  </si>
  <si>
    <t>SIMD浮動小数点
積和演算命令率</t>
    <rPh sb="4" eb="6">
      <t>フドウ</t>
    </rPh>
    <rPh sb="6" eb="8">
      <t>ショウスウ</t>
    </rPh>
    <rPh sb="8" eb="9">
      <t>テン</t>
    </rPh>
    <rPh sb="10" eb="12">
      <t>セキワ</t>
    </rPh>
    <rPh sb="12" eb="14">
      <t>エンザン</t>
    </rPh>
    <rPh sb="14" eb="16">
      <t>メイレイ</t>
    </rPh>
    <rPh sb="16" eb="17">
      <t>リツ</t>
    </rPh>
    <phoneticPr fontId="3"/>
  </si>
  <si>
    <t>浮動小数点
積和演算命令率</t>
    <rPh sb="0" eb="2">
      <t>フドウ</t>
    </rPh>
    <rPh sb="2" eb="4">
      <t>ショウスウ</t>
    </rPh>
    <rPh sb="4" eb="5">
      <t>テン</t>
    </rPh>
    <rPh sb="6" eb="8">
      <t>セキワ</t>
    </rPh>
    <rPh sb="8" eb="10">
      <t>エンザン</t>
    </rPh>
    <rPh sb="10" eb="12">
      <t>メイレイ</t>
    </rPh>
    <rPh sb="12" eb="13">
      <t>リツ</t>
    </rPh>
    <phoneticPr fontId="3"/>
  </si>
  <si>
    <t>L2エンジンビジー率</t>
    <rPh sb="9" eb="10">
      <t>リツ</t>
    </rPh>
    <phoneticPr fontId="3"/>
  </si>
  <si>
    <t>L1エンジンビジー率</t>
    <rPh sb="9" eb="10">
      <t>リツ</t>
    </rPh>
    <phoneticPr fontId="3"/>
  </si>
  <si>
    <t>SIMD演算命令率
(/SIMD対象演算命令数)</t>
    <rPh sb="4" eb="6">
      <t>エンザン</t>
    </rPh>
    <rPh sb="6" eb="8">
      <t>メイレイ</t>
    </rPh>
    <rPh sb="8" eb="9">
      <t>リツ</t>
    </rPh>
    <rPh sb="16" eb="18">
      <t>タイショウ</t>
    </rPh>
    <rPh sb="18" eb="20">
      <t>エンザン</t>
    </rPh>
    <rPh sb="20" eb="22">
      <t>メイレイ</t>
    </rPh>
    <rPh sb="22" eb="23">
      <t>スウ</t>
    </rPh>
    <phoneticPr fontId="3"/>
  </si>
  <si>
    <t>SIMD命令率
(/SIMD対象命令数）</t>
    <rPh sb="4" eb="6">
      <t>メイレイ</t>
    </rPh>
    <rPh sb="6" eb="7">
      <t>リツ</t>
    </rPh>
    <rPh sb="14" eb="16">
      <t>タイショウ</t>
    </rPh>
    <rPh sb="16" eb="18">
      <t>メイレイ</t>
    </rPh>
    <rPh sb="18" eb="19">
      <t>スウ</t>
    </rPh>
    <phoneticPr fontId="3"/>
  </si>
  <si>
    <t>メモリスループット(R)</t>
    <phoneticPr fontId="3"/>
  </si>
  <si>
    <t>Memory・Cache</t>
    <phoneticPr fontId="3"/>
  </si>
  <si>
    <t>4命令コミット率</t>
    <rPh sb="7" eb="8">
      <t>リツ</t>
    </rPh>
    <phoneticPr fontId="3"/>
  </si>
  <si>
    <t>2/3命令コミット率</t>
    <rPh sb="9" eb="10">
      <t>リツ</t>
    </rPh>
    <phoneticPr fontId="3"/>
  </si>
  <si>
    <t>1命令コミット率</t>
    <rPh sb="7" eb="8">
      <t>リツ</t>
    </rPh>
    <phoneticPr fontId="3"/>
  </si>
  <si>
    <t>整数レジスタ
書き込み制約率</t>
    <rPh sb="13" eb="14">
      <t>リツ</t>
    </rPh>
    <phoneticPr fontId="3"/>
  </si>
  <si>
    <t>L1Dキャッシュミス内訳（/L1Dキャッシュミス数）</t>
    <rPh sb="10" eb="12">
      <t>ウチワケ</t>
    </rPh>
    <rPh sb="24" eb="25">
      <t>スウ</t>
    </rPh>
    <phoneticPr fontId="3"/>
  </si>
  <si>
    <t>uITLB_miss2</t>
    <phoneticPr fontId="3"/>
  </si>
  <si>
    <t>uDTLB_miss2</t>
    <phoneticPr fontId="3"/>
  </si>
  <si>
    <t>XFILL
フラグ</t>
    <phoneticPr fontId="3"/>
  </si>
  <si>
    <t>L2エンジン
スループット（Ｒ）</t>
    <phoneticPr fontId="3"/>
  </si>
  <si>
    <t>L2エンジン
スループット（ＲＷ）</t>
    <phoneticPr fontId="3"/>
  </si>
  <si>
    <t>L2エンジン
ビジー率（Ｒ）</t>
    <rPh sb="10" eb="11">
      <t>リツ</t>
    </rPh>
    <phoneticPr fontId="3"/>
  </si>
  <si>
    <t>L2エンジン
ビジー率（ＲＷ）</t>
    <rPh sb="10" eb="11">
      <t>リツ</t>
    </rPh>
    <phoneticPr fontId="3"/>
  </si>
  <si>
    <t>0:OFF
1:ON</t>
    <phoneticPr fontId="3"/>
  </si>
  <si>
    <t>L２キャッシュミス内訳（/Ｌ２キャッシュミス数）</t>
    <rPh sb="9" eb="11">
      <t>ウチワケ</t>
    </rPh>
    <rPh sb="22" eb="23">
      <t>スウ</t>
    </rPh>
    <phoneticPr fontId="3"/>
  </si>
  <si>
    <t>L1エンジン
ビジー率</t>
    <rPh sb="10" eb="11">
      <t>リツ</t>
    </rPh>
    <phoneticPr fontId="3"/>
  </si>
  <si>
    <t>L2エンジン
スループット
(GB/sec)</t>
    <phoneticPr fontId="3"/>
  </si>
  <si>
    <t>メモリビジー率</t>
    <rPh sb="6" eb="7">
      <t>リツ</t>
    </rPh>
    <phoneticPr fontId="3"/>
  </si>
  <si>
    <t>キャッシュミス率（/ロード・ストア数）</t>
    <rPh sb="7" eb="8">
      <t>リツ</t>
    </rPh>
    <rPh sb="17" eb="18">
      <t>スウ</t>
    </rPh>
    <phoneticPr fontId="3"/>
  </si>
  <si>
    <t>命令内訳 (/有効総命令数)</t>
    <rPh sb="0" eb="2">
      <t>メイレイ</t>
    </rPh>
    <rPh sb="2" eb="4">
      <t>ウチワケ</t>
    </rPh>
    <rPh sb="7" eb="9">
      <t>ユウコウ</t>
    </rPh>
    <rPh sb="9" eb="10">
      <t>ソウ</t>
    </rPh>
    <rPh sb="10" eb="12">
      <t>メイレイ</t>
    </rPh>
    <rPh sb="12" eb="13">
      <t>スウ</t>
    </rPh>
    <phoneticPr fontId="3"/>
  </si>
  <si>
    <t>ロードバランス</t>
    <phoneticPr fontId="3"/>
  </si>
  <si>
    <t>ロードバランス</t>
    <phoneticPr fontId="3"/>
  </si>
  <si>
    <t>メモリ・キャッシュエンジン ビジー率</t>
    <rPh sb="17" eb="18">
      <t>リツ</t>
    </rPh>
    <phoneticPr fontId="3"/>
  </si>
  <si>
    <t>FX10 PA information</t>
    <phoneticPr fontId="3"/>
  </si>
  <si>
    <t>data_FX10</t>
  </si>
  <si>
    <t>data_FX10</t>
    <phoneticPr fontId="3"/>
  </si>
  <si>
    <t>data_FX10</t>
    <phoneticPr fontId="3"/>
  </si>
  <si>
    <t>data_FX10</t>
    <phoneticPr fontId="3"/>
  </si>
  <si>
    <t>命令バランス</t>
    <rPh sb="0" eb="2">
      <t>メイレイ</t>
    </rPh>
    <phoneticPr fontId="3"/>
  </si>
  <si>
    <t>バリア同期待ち率</t>
    <rPh sb="3" eb="5">
      <t>ドウキ</t>
    </rPh>
    <rPh sb="5" eb="6">
      <t>マ</t>
    </rPh>
    <rPh sb="7" eb="8">
      <t>リツ</t>
    </rPh>
    <phoneticPr fontId="3"/>
  </si>
  <si>
    <t>命令フェッチ待ち率</t>
    <rPh sb="0" eb="2">
      <t>メイレイ</t>
    </rPh>
    <rPh sb="6" eb="7">
      <t>マ</t>
    </rPh>
    <rPh sb="8" eb="9">
      <t>リツ</t>
    </rPh>
    <phoneticPr fontId="3"/>
  </si>
  <si>
    <t>演算待ち率</t>
    <rPh sb="0" eb="2">
      <t>エンザン</t>
    </rPh>
    <rPh sb="2" eb="3">
      <t>マ</t>
    </rPh>
    <rPh sb="4" eb="5">
      <t>リツ</t>
    </rPh>
    <phoneticPr fontId="3"/>
  </si>
  <si>
    <t>浮動小数点アクセス待ち率</t>
    <rPh sb="0" eb="2">
      <t>フドウ</t>
    </rPh>
    <rPh sb="2" eb="4">
      <t>ショウスウ</t>
    </rPh>
    <rPh sb="4" eb="5">
      <t>テン</t>
    </rPh>
    <rPh sb="9" eb="10">
      <t>マ</t>
    </rPh>
    <rPh sb="11" eb="12">
      <t>リツ</t>
    </rPh>
    <phoneticPr fontId="3"/>
  </si>
  <si>
    <t>整数アクセス待ち率</t>
    <rPh sb="0" eb="2">
      <t>セイスウ</t>
    </rPh>
    <rPh sb="6" eb="7">
      <t>マ</t>
    </rPh>
    <rPh sb="8" eb="9">
      <t>リツ</t>
    </rPh>
    <phoneticPr fontId="3"/>
  </si>
  <si>
    <t>その他の待ち率</t>
    <rPh sb="2" eb="3">
      <t>ホカ</t>
    </rPh>
    <rPh sb="4" eb="5">
      <t>マ</t>
    </rPh>
    <rPh sb="6" eb="7">
      <t>リツ</t>
    </rPh>
    <phoneticPr fontId="3"/>
  </si>
  <si>
    <t>Balance</t>
    <phoneticPr fontId="3"/>
  </si>
  <si>
    <t>1回目の実行時間との比率（性能比）</t>
    <rPh sb="13" eb="15">
      <t>セイノウ</t>
    </rPh>
    <rPh sb="15" eb="16">
      <t>ヒ</t>
    </rPh>
    <phoneticPr fontId="3"/>
  </si>
  <si>
    <t>実行時間内訳（詳細）</t>
    <rPh sb="0" eb="2">
      <t>ジッコウ</t>
    </rPh>
    <rPh sb="2" eb="4">
      <t>ジカン</t>
    </rPh>
    <rPh sb="4" eb="6">
      <t>ウチワケ</t>
    </rPh>
    <rPh sb="7" eb="9">
      <t>ショウサイ</t>
    </rPh>
    <phoneticPr fontId="3"/>
  </si>
  <si>
    <t>Instruction</t>
    <phoneticPr fontId="3"/>
  </si>
  <si>
    <t>実行時間内訳 [概略] （/実行時間)</t>
    <rPh sb="0" eb="2">
      <t>ジッコウ</t>
    </rPh>
    <rPh sb="2" eb="4">
      <t>ジカン</t>
    </rPh>
    <rPh sb="4" eb="6">
      <t>ウチワケ</t>
    </rPh>
    <rPh sb="8" eb="10">
      <t>ガイリャク</t>
    </rPh>
    <rPh sb="14" eb="16">
      <t>ジッコウ</t>
    </rPh>
    <rPh sb="16" eb="18">
      <t>ジカン</t>
    </rPh>
    <phoneticPr fontId="2"/>
  </si>
  <si>
    <t>CPU time</t>
    <phoneticPr fontId="3"/>
  </si>
  <si>
    <t>1回あたりの実行時間</t>
    <rPh sb="1" eb="2">
      <t>カイ</t>
    </rPh>
    <phoneticPr fontId="3"/>
  </si>
  <si>
    <t>実行時間 (sec)</t>
    <phoneticPr fontId="3"/>
  </si>
  <si>
    <t>symbol_count</t>
    <phoneticPr fontId="3"/>
  </si>
  <si>
    <t>Thread 0</t>
  </si>
  <si>
    <t>Thread 1</t>
  </si>
  <si>
    <t>Thread 2</t>
  </si>
  <si>
    <t>Thread 3</t>
  </si>
  <si>
    <t>Thread 4</t>
  </si>
  <si>
    <t>Thread 5</t>
  </si>
  <si>
    <t>Thread 6</t>
  </si>
  <si>
    <t>Thread 7</t>
  </si>
  <si>
    <t>Thread 8</t>
  </si>
  <si>
    <t>Thread 9</t>
  </si>
  <si>
    <t>Thread 10</t>
  </si>
  <si>
    <t>Thread 11</t>
  </si>
  <si>
    <t>Thread 12</t>
  </si>
  <si>
    <t>Thread 13</t>
  </si>
  <si>
    <t>Thread 14</t>
  </si>
  <si>
    <t>Thread 15</t>
  </si>
  <si>
    <t>Process No</t>
    <phoneticPr fontId="3"/>
  </si>
  <si>
    <t>Interval Name</t>
    <phoneticPr fontId="3"/>
  </si>
  <si>
    <t>Thread 0</t>
    <phoneticPr fontId="3"/>
  </si>
  <si>
    <t>Thread 1</t>
    <phoneticPr fontId="3"/>
  </si>
  <si>
    <t>Thread 2</t>
    <phoneticPr fontId="3"/>
  </si>
  <si>
    <t>Thread 3</t>
    <phoneticPr fontId="3"/>
  </si>
  <si>
    <t>Thread 4</t>
    <phoneticPr fontId="3"/>
  </si>
  <si>
    <t>Thread 5</t>
    <phoneticPr fontId="3"/>
  </si>
  <si>
    <t>Thread 6</t>
    <phoneticPr fontId="3"/>
  </si>
  <si>
    <t>Thread 7</t>
    <phoneticPr fontId="3"/>
  </si>
  <si>
    <t>Thread 8</t>
    <phoneticPr fontId="3"/>
  </si>
  <si>
    <t>Thread 9</t>
    <phoneticPr fontId="3"/>
  </si>
  <si>
    <t>Thread 10</t>
    <phoneticPr fontId="3"/>
  </si>
  <si>
    <t>Thread 11</t>
    <phoneticPr fontId="3"/>
  </si>
  <si>
    <t>Thread 12</t>
    <phoneticPr fontId="3"/>
  </si>
  <si>
    <t>Thread 13</t>
    <phoneticPr fontId="3"/>
  </si>
  <si>
    <t>Thread 14</t>
    <phoneticPr fontId="3"/>
  </si>
  <si>
    <t>Thread 15</t>
    <phoneticPr fontId="3"/>
  </si>
  <si>
    <t>詳細プロファイラ(CPU-PA) 取り込み用Excelワークシート</t>
    <phoneticPr fontId="3"/>
  </si>
  <si>
    <t>版数</t>
    <rPh sb="0" eb="2">
      <t>ハンスウ</t>
    </rPh>
    <phoneticPr fontId="3"/>
  </si>
  <si>
    <t>変更日</t>
    <rPh sb="0" eb="2">
      <t>ヘンコウ</t>
    </rPh>
    <rPh sb="2" eb="3">
      <t>ビ</t>
    </rPh>
    <phoneticPr fontId="3"/>
  </si>
  <si>
    <t>変更内容</t>
    <rPh sb="0" eb="2">
      <t>ヘンコウ</t>
    </rPh>
    <rPh sb="2" eb="4">
      <t>ナイヨウ</t>
    </rPh>
    <phoneticPr fontId="3"/>
  </si>
  <si>
    <t>初版</t>
    <rPh sb="0" eb="2">
      <t>ショハン</t>
    </rPh>
    <phoneticPr fontId="3"/>
  </si>
  <si>
    <t>新規作成</t>
    <rPh sb="0" eb="2">
      <t>シンキ</t>
    </rPh>
    <rPh sb="2" eb="4">
      <t>サクセイ</t>
    </rPh>
    <phoneticPr fontId="3"/>
  </si>
  <si>
    <t>2013-0107</t>
    <phoneticPr fontId="3"/>
  </si>
  <si>
    <t>◆バリア同期待ち最少スレッド</t>
    <phoneticPr fontId="3"/>
  </si>
  <si>
    <r>
      <t xml:space="preserve">グラフデータ(SEC) </t>
    </r>
    <r>
      <rPr>
        <b/>
        <sz val="10"/>
        <rFont val="ＭＳ Ｐゴシック"/>
        <family val="3"/>
        <charset val="128"/>
      </rPr>
      <t>(バリア同期待ちが最小のスレッド)</t>
    </r>
    <rPh sb="16" eb="18">
      <t>ドウキ</t>
    </rPh>
    <rPh sb="18" eb="19">
      <t>マ</t>
    </rPh>
    <rPh sb="21" eb="23">
      <t>サイショウ</t>
    </rPh>
    <phoneticPr fontId="3"/>
  </si>
  <si>
    <t>A</t>
    <phoneticPr fontId="3"/>
  </si>
  <si>
    <t>B</t>
    <phoneticPr fontId="3"/>
  </si>
  <si>
    <t>C</t>
    <phoneticPr fontId="3"/>
  </si>
  <si>
    <t>D</t>
    <phoneticPr fontId="3"/>
  </si>
  <si>
    <t>E</t>
    <phoneticPr fontId="3"/>
  </si>
  <si>
    <t>F</t>
    <phoneticPr fontId="3"/>
  </si>
  <si>
    <t>G</t>
    <phoneticPr fontId="3"/>
  </si>
  <si>
    <t>H</t>
    <phoneticPr fontId="3"/>
  </si>
  <si>
    <t>I</t>
    <phoneticPr fontId="3"/>
  </si>
  <si>
    <t>J</t>
    <phoneticPr fontId="3"/>
  </si>
  <si>
    <t>K</t>
    <phoneticPr fontId="3"/>
  </si>
  <si>
    <t>L</t>
    <phoneticPr fontId="3"/>
  </si>
  <si>
    <t>M</t>
    <phoneticPr fontId="3"/>
  </si>
  <si>
    <t>N</t>
    <phoneticPr fontId="3"/>
  </si>
  <si>
    <t>O</t>
    <phoneticPr fontId="3"/>
  </si>
  <si>
    <t>P</t>
    <phoneticPr fontId="3"/>
  </si>
  <si>
    <t>Q</t>
    <phoneticPr fontId="3"/>
  </si>
  <si>
    <t>R</t>
    <phoneticPr fontId="3"/>
  </si>
  <si>
    <t>S</t>
    <phoneticPr fontId="3"/>
  </si>
  <si>
    <t>T</t>
    <phoneticPr fontId="3"/>
  </si>
  <si>
    <t>U</t>
    <phoneticPr fontId="3"/>
  </si>
  <si>
    <t>2/3命令コミット</t>
    <phoneticPr fontId="3"/>
  </si>
  <si>
    <t>MFLOPS</t>
    <phoneticPr fontId="3"/>
  </si>
  <si>
    <t>data_FX10</t>
    <phoneticPr fontId="3"/>
  </si>
  <si>
    <t>整数レジスタ書き込み制約率</t>
    <rPh sb="12" eb="13">
      <t>リツ</t>
    </rPh>
    <phoneticPr fontId="3"/>
  </si>
  <si>
    <t>SUM</t>
    <phoneticPr fontId="3"/>
  </si>
  <si>
    <t>○XFILLなし</t>
    <phoneticPr fontId="3"/>
  </si>
  <si>
    <t>○XFILLあり</t>
    <phoneticPr fontId="3"/>
  </si>
  <si>
    <t>writeback率</t>
    <rPh sb="9" eb="10">
      <t>リツ</t>
    </rPh>
    <phoneticPr fontId="38"/>
  </si>
  <si>
    <t>メモリスループット(GB/s)</t>
    <phoneticPr fontId="3"/>
  </si>
  <si>
    <t>ネックの目安値</t>
    <rPh sb="4" eb="6">
      <t>メヤス</t>
    </rPh>
    <rPh sb="6" eb="7">
      <t>チ</t>
    </rPh>
    <phoneticPr fontId="3"/>
  </si>
  <si>
    <t>100%の基準値</t>
    <rPh sb="5" eb="8">
      <t>キジュンチ</t>
    </rPh>
    <phoneticPr fontId="38"/>
  </si>
  <si>
    <t>ネックの基準値</t>
    <rPh sb="4" eb="7">
      <t>キジュンチ</t>
    </rPh>
    <phoneticPr fontId="38"/>
  </si>
  <si>
    <t>50%～100％</t>
    <phoneticPr fontId="3"/>
  </si>
  <si>
    <t>参考の早見表（XFILLなし）</t>
    <rPh sb="0" eb="2">
      <t>サンコウ</t>
    </rPh>
    <rPh sb="3" eb="6">
      <t>ハヤミヒョウ</t>
    </rPh>
    <phoneticPr fontId="3"/>
  </si>
  <si>
    <t>参考の早見表（XFILLあり）</t>
    <rPh sb="0" eb="2">
      <t>サンコウ</t>
    </rPh>
    <rPh sb="3" eb="6">
      <t>ハヤミヒョウ</t>
    </rPh>
    <phoneticPr fontId="3"/>
  </si>
  <si>
    <t>ネック率</t>
    <rPh sb="3" eb="4">
      <t>リツ</t>
    </rPh>
    <phoneticPr fontId="3"/>
  </si>
  <si>
    <t>採用値</t>
    <rPh sb="0" eb="2">
      <t>サイヨウ</t>
    </rPh>
    <rPh sb="2" eb="3">
      <t>チ</t>
    </rPh>
    <phoneticPr fontId="3"/>
  </si>
  <si>
    <t>Writeback率</t>
    <rPh sb="9" eb="10">
      <t>リツ</t>
    </rPh>
    <phoneticPr fontId="3"/>
  </si>
  <si>
    <t>メモリスループット上限値 (XFILLなし)</t>
    <rPh sb="9" eb="12">
      <t>ジョウゲンチ</t>
    </rPh>
    <phoneticPr fontId="3"/>
  </si>
  <si>
    <t>スループットネック閾値
(XFILLなし)</t>
    <phoneticPr fontId="3"/>
  </si>
  <si>
    <t>メモリスループット上限値 (XFILLあり)</t>
    <rPh sb="9" eb="12">
      <t>ジョウゲンチ</t>
    </rPh>
    <phoneticPr fontId="3"/>
  </si>
  <si>
    <t>スループットネック閾値
(XFILLあり)</t>
    <phoneticPr fontId="3"/>
  </si>
  <si>
    <t xml:space="preserve">メモリスループット上限値 </t>
    <rPh sb="9" eb="12">
      <t>ジョウゲンチ</t>
    </rPh>
    <phoneticPr fontId="3"/>
  </si>
  <si>
    <t>スループットネック閾値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</si>
</sst>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_);[Red]\(0\)"/>
    <numFmt numFmtId="177" formatCode="0.000_ "/>
    <numFmt numFmtId="178" formatCode="0_ "/>
    <numFmt numFmtId="179" formatCode="0.000E+00"/>
    <numFmt numFmtId="180" formatCode="0.00_);[Red]\(0.00\)"/>
    <numFmt numFmtId="181" formatCode="0.00_ "/>
    <numFmt numFmtId="182" formatCode="0.0000000%"/>
    <numFmt numFmtId="183" formatCode="0.00000%"/>
    <numFmt numFmtId="184" formatCode="0.0%"/>
    <numFmt numFmtId="185" formatCode="0.0"/>
  </numFmts>
  <fonts count="4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2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sz val="6"/>
      <color indexed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</fonts>
  <fills count="6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4.9989318521683403E-2"/>
        <bgColor indexed="64"/>
      </patternFill>
    </fill>
  </fills>
  <borders count="12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</borders>
  <cellStyleXfs count="45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3" borderId="9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7" borderId="4" applyNumberFormat="0" applyAlignment="0" applyProtection="0">
      <alignment vertical="center"/>
    </xf>
    <xf numFmtId="0" fontId="1" fillId="0" borderId="0"/>
    <xf numFmtId="0" fontId="1" fillId="0" borderId="0">
      <alignment vertical="center"/>
    </xf>
    <xf numFmtId="0" fontId="22" fillId="4" borderId="0" applyNumberFormat="0" applyBorder="0" applyAlignment="0" applyProtection="0">
      <alignment vertical="center"/>
    </xf>
  </cellStyleXfs>
  <cellXfs count="746">
    <xf numFmtId="0" fontId="0" fillId="0" borderId="0" xfId="0">
      <alignment vertical="center"/>
    </xf>
    <xf numFmtId="11" fontId="0" fillId="0" borderId="0" xfId="0" applyNumberFormat="1">
      <alignment vertical="center"/>
    </xf>
    <xf numFmtId="11" fontId="31" fillId="0" borderId="0" xfId="0" applyNumberFormat="1" applyFont="1" applyBorder="1">
      <alignment vertical="center"/>
    </xf>
    <xf numFmtId="10" fontId="31" fillId="0" borderId="0" xfId="28" applyNumberFormat="1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23" fillId="0" borderId="12" xfId="0" applyFont="1" applyFill="1" applyBorder="1" applyAlignment="1">
      <alignment horizontal="center" vertical="center" wrapText="1"/>
    </xf>
    <xf numFmtId="0" fontId="23" fillId="0" borderId="13" xfId="0" applyFont="1" applyFill="1" applyBorder="1" applyAlignment="1">
      <alignment horizontal="center" vertical="center" wrapText="1"/>
    </xf>
    <xf numFmtId="10" fontId="23" fillId="0" borderId="13" xfId="28" applyNumberFormat="1" applyFont="1" applyFill="1" applyBorder="1" applyAlignment="1">
      <alignment horizontal="center" vertical="center" wrapText="1"/>
    </xf>
    <xf numFmtId="11" fontId="23" fillId="0" borderId="13" xfId="0" applyNumberFormat="1" applyFont="1" applyFill="1" applyBorder="1" applyAlignment="1">
      <alignment horizontal="center" vertical="center" wrapText="1"/>
    </xf>
    <xf numFmtId="0" fontId="23" fillId="0" borderId="14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24" borderId="16" xfId="0" applyFill="1" applyBorder="1">
      <alignment vertical="center"/>
    </xf>
    <xf numFmtId="0" fontId="0" fillId="25" borderId="16" xfId="0" applyFill="1" applyBorder="1">
      <alignment vertical="center"/>
    </xf>
    <xf numFmtId="0" fontId="0" fillId="26" borderId="16" xfId="0" applyFill="1" applyBorder="1">
      <alignment vertical="center"/>
    </xf>
    <xf numFmtId="0" fontId="0" fillId="27" borderId="16" xfId="0" applyFill="1" applyBorder="1">
      <alignment vertical="center"/>
    </xf>
    <xf numFmtId="0" fontId="0" fillId="28" borderId="16" xfId="0" applyFill="1" applyBorder="1">
      <alignment vertical="center"/>
    </xf>
    <xf numFmtId="0" fontId="0" fillId="29" borderId="16" xfId="0" applyFill="1" applyBorder="1">
      <alignment vertical="center"/>
    </xf>
    <xf numFmtId="0" fontId="0" fillId="30" borderId="16" xfId="0" applyFill="1" applyBorder="1">
      <alignment vertical="center"/>
    </xf>
    <xf numFmtId="0" fontId="0" fillId="31" borderId="16" xfId="0" applyFill="1" applyBorder="1">
      <alignment vertical="center"/>
    </xf>
    <xf numFmtId="0" fontId="0" fillId="32" borderId="16" xfId="0" applyFill="1" applyBorder="1">
      <alignment vertical="center"/>
    </xf>
    <xf numFmtId="0" fontId="0" fillId="33" borderId="16" xfId="0" applyFill="1" applyBorder="1">
      <alignment vertical="center"/>
    </xf>
    <xf numFmtId="0" fontId="0" fillId="34" borderId="16" xfId="0" applyFill="1" applyBorder="1">
      <alignment vertical="center"/>
    </xf>
    <xf numFmtId="0" fontId="0" fillId="35" borderId="16" xfId="0" applyFill="1" applyBorder="1">
      <alignment vertical="center"/>
    </xf>
    <xf numFmtId="0" fontId="0" fillId="36" borderId="16" xfId="0" applyFill="1" applyBorder="1">
      <alignment vertical="center"/>
    </xf>
    <xf numFmtId="0" fontId="0" fillId="37" borderId="16" xfId="0" applyFill="1" applyBorder="1">
      <alignment vertical="center"/>
    </xf>
    <xf numFmtId="0" fontId="0" fillId="38" borderId="16" xfId="0" applyFill="1" applyBorder="1">
      <alignment vertical="center"/>
    </xf>
    <xf numFmtId="0" fontId="0" fillId="0" borderId="17" xfId="0" applyBorder="1">
      <alignment vertical="center"/>
    </xf>
    <xf numFmtId="181" fontId="0" fillId="0" borderId="0" xfId="0" applyNumberFormat="1">
      <alignment vertical="center"/>
    </xf>
    <xf numFmtId="10" fontId="23" fillId="0" borderId="18" xfId="0" applyNumberFormat="1" applyFont="1" applyBorder="1">
      <alignment vertical="center"/>
    </xf>
    <xf numFmtId="10" fontId="23" fillId="0" borderId="19" xfId="0" applyNumberFormat="1" applyFont="1" applyBorder="1">
      <alignment vertical="center"/>
    </xf>
    <xf numFmtId="0" fontId="0" fillId="39" borderId="16" xfId="0" applyFill="1" applyBorder="1">
      <alignment vertical="center"/>
    </xf>
    <xf numFmtId="0" fontId="23" fillId="0" borderId="20" xfId="0" applyNumberFormat="1" applyFont="1" applyBorder="1">
      <alignment vertical="center"/>
    </xf>
    <xf numFmtId="11" fontId="23" fillId="0" borderId="21" xfId="0" applyNumberFormat="1" applyFont="1" applyBorder="1">
      <alignment vertical="center"/>
    </xf>
    <xf numFmtId="11" fontId="23" fillId="0" borderId="22" xfId="0" applyNumberFormat="1" applyFont="1" applyBorder="1">
      <alignment vertical="center"/>
    </xf>
    <xf numFmtId="0" fontId="23" fillId="0" borderId="23" xfId="0" applyNumberFormat="1" applyFont="1" applyBorder="1">
      <alignment vertical="center"/>
    </xf>
    <xf numFmtId="10" fontId="23" fillId="0" borderId="24" xfId="0" applyNumberFormat="1" applyFont="1" applyBorder="1">
      <alignment vertical="center"/>
    </xf>
    <xf numFmtId="10" fontId="23" fillId="0" borderId="25" xfId="0" applyNumberFormat="1" applyFont="1" applyBorder="1">
      <alignment vertical="center"/>
    </xf>
    <xf numFmtId="11" fontId="23" fillId="0" borderId="18" xfId="0" applyNumberFormat="1" applyFont="1" applyBorder="1">
      <alignment vertical="center"/>
    </xf>
    <xf numFmtId="11" fontId="23" fillId="0" borderId="26" xfId="0" applyNumberFormat="1" applyFont="1" applyBorder="1">
      <alignment vertical="center"/>
    </xf>
    <xf numFmtId="0" fontId="23" fillId="0" borderId="27" xfId="0" applyNumberFormat="1" applyFont="1" applyBorder="1">
      <alignment vertical="center"/>
    </xf>
    <xf numFmtId="11" fontId="23" fillId="0" borderId="19" xfId="0" applyNumberFormat="1" applyFont="1" applyBorder="1">
      <alignment vertical="center"/>
    </xf>
    <xf numFmtId="11" fontId="23" fillId="0" borderId="25" xfId="0" applyNumberFormat="1" applyFont="1" applyBorder="1">
      <alignment vertical="center"/>
    </xf>
    <xf numFmtId="0" fontId="34" fillId="0" borderId="0" xfId="0" applyFont="1">
      <alignment vertical="center"/>
    </xf>
    <xf numFmtId="0" fontId="34" fillId="0" borderId="0" xfId="0" applyFont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11" fontId="34" fillId="0" borderId="29" xfId="0" applyNumberFormat="1" applyFont="1" applyBorder="1">
      <alignment vertical="center"/>
    </xf>
    <xf numFmtId="181" fontId="34" fillId="0" borderId="30" xfId="0" applyNumberFormat="1" applyFont="1" applyBorder="1">
      <alignment vertical="center"/>
    </xf>
    <xf numFmtId="10" fontId="34" fillId="0" borderId="31" xfId="28" applyNumberFormat="1" applyFont="1" applyBorder="1">
      <alignment vertical="center"/>
    </xf>
    <xf numFmtId="10" fontId="34" fillId="0" borderId="32" xfId="0" applyNumberFormat="1" applyFont="1" applyBorder="1">
      <alignment vertical="center"/>
    </xf>
    <xf numFmtId="10" fontId="34" fillId="0" borderId="31" xfId="0" applyNumberFormat="1" applyFont="1" applyBorder="1">
      <alignment vertical="center"/>
    </xf>
    <xf numFmtId="11" fontId="34" fillId="0" borderId="23" xfId="0" applyNumberFormat="1" applyFont="1" applyBorder="1">
      <alignment vertical="center"/>
    </xf>
    <xf numFmtId="181" fontId="34" fillId="0" borderId="33" xfId="0" applyNumberFormat="1" applyFont="1" applyBorder="1">
      <alignment vertical="center"/>
    </xf>
    <xf numFmtId="10" fontId="34" fillId="0" borderId="18" xfId="28" applyNumberFormat="1" applyFont="1" applyBorder="1">
      <alignment vertical="center"/>
    </xf>
    <xf numFmtId="178" fontId="34" fillId="0" borderId="18" xfId="0" applyNumberFormat="1" applyFont="1" applyBorder="1">
      <alignment vertical="center"/>
    </xf>
    <xf numFmtId="11" fontId="34" fillId="0" borderId="26" xfId="0" applyNumberFormat="1" applyFont="1" applyBorder="1">
      <alignment vertical="center"/>
    </xf>
    <xf numFmtId="178" fontId="34" fillId="0" borderId="0" xfId="0" applyNumberFormat="1" applyFont="1" applyBorder="1">
      <alignment vertical="center"/>
    </xf>
    <xf numFmtId="11" fontId="34" fillId="0" borderId="11" xfId="0" applyNumberFormat="1" applyFont="1" applyBorder="1">
      <alignment vertical="center"/>
    </xf>
    <xf numFmtId="10" fontId="34" fillId="0" borderId="34" xfId="0" applyNumberFormat="1" applyFont="1" applyBorder="1">
      <alignment vertical="center"/>
    </xf>
    <xf numFmtId="10" fontId="34" fillId="0" borderId="18" xfId="0" applyNumberFormat="1" applyFont="1" applyBorder="1">
      <alignment vertical="center"/>
    </xf>
    <xf numFmtId="181" fontId="34" fillId="0" borderId="35" xfId="0" applyNumberFormat="1" applyFont="1" applyBorder="1">
      <alignment vertical="center"/>
    </xf>
    <xf numFmtId="10" fontId="34" fillId="0" borderId="36" xfId="28" applyNumberFormat="1" applyFont="1" applyBorder="1">
      <alignment vertical="center"/>
    </xf>
    <xf numFmtId="11" fontId="34" fillId="0" borderId="37" xfId="0" applyNumberFormat="1" applyFont="1" applyBorder="1">
      <alignment vertical="center"/>
    </xf>
    <xf numFmtId="11" fontId="34" fillId="0" borderId="38" xfId="0" applyNumberFormat="1" applyFont="1" applyBorder="1">
      <alignment vertical="center"/>
    </xf>
    <xf numFmtId="181" fontId="34" fillId="0" borderId="39" xfId="0" applyNumberFormat="1" applyFont="1" applyBorder="1">
      <alignment vertical="center"/>
    </xf>
    <xf numFmtId="10" fontId="34" fillId="0" borderId="40" xfId="0" applyNumberFormat="1" applyFont="1" applyBorder="1">
      <alignment vertical="center"/>
    </xf>
    <xf numFmtId="178" fontId="34" fillId="0" borderId="40" xfId="0" applyNumberFormat="1" applyFont="1" applyBorder="1">
      <alignment vertical="center"/>
    </xf>
    <xf numFmtId="178" fontId="34" fillId="0" borderId="41" xfId="0" applyNumberFormat="1" applyFont="1" applyBorder="1">
      <alignment vertical="center"/>
    </xf>
    <xf numFmtId="11" fontId="34" fillId="0" borderId="42" xfId="0" applyNumberFormat="1" applyFont="1" applyBorder="1">
      <alignment vertical="center"/>
    </xf>
    <xf numFmtId="11" fontId="34" fillId="0" borderId="43" xfId="0" applyNumberFormat="1" applyFont="1" applyBorder="1">
      <alignment vertical="center"/>
    </xf>
    <xf numFmtId="10" fontId="34" fillId="0" borderId="44" xfId="0" applyNumberFormat="1" applyFont="1" applyBorder="1">
      <alignment vertical="center"/>
    </xf>
    <xf numFmtId="0" fontId="34" fillId="0" borderId="0" xfId="0" applyFont="1" applyBorder="1">
      <alignment vertical="center"/>
    </xf>
    <xf numFmtId="11" fontId="34" fillId="0" borderId="0" xfId="0" applyNumberFormat="1" applyFont="1">
      <alignment vertical="center"/>
    </xf>
    <xf numFmtId="10" fontId="34" fillId="0" borderId="32" xfId="28" applyNumberFormat="1" applyFont="1" applyBorder="1">
      <alignment vertical="center"/>
    </xf>
    <xf numFmtId="10" fontId="34" fillId="0" borderId="45" xfId="28" applyNumberFormat="1" applyFont="1" applyBorder="1">
      <alignment vertical="center"/>
    </xf>
    <xf numFmtId="10" fontId="34" fillId="0" borderId="46" xfId="0" applyNumberFormat="1" applyFont="1" applyBorder="1">
      <alignment vertical="center"/>
    </xf>
    <xf numFmtId="10" fontId="34" fillId="0" borderId="34" xfId="28" applyNumberFormat="1" applyFont="1" applyBorder="1">
      <alignment vertical="center"/>
    </xf>
    <xf numFmtId="10" fontId="34" fillId="0" borderId="47" xfId="28" applyNumberFormat="1" applyFont="1" applyBorder="1">
      <alignment vertical="center"/>
    </xf>
    <xf numFmtId="10" fontId="34" fillId="0" borderId="48" xfId="0" applyNumberFormat="1" applyFont="1" applyBorder="1">
      <alignment vertical="center"/>
    </xf>
    <xf numFmtId="11" fontId="34" fillId="0" borderId="49" xfId="0" applyNumberFormat="1" applyFont="1" applyBorder="1">
      <alignment vertical="center"/>
    </xf>
    <xf numFmtId="10" fontId="34" fillId="0" borderId="44" xfId="28" applyNumberFormat="1" applyFont="1" applyBorder="1">
      <alignment vertical="center"/>
    </xf>
    <xf numFmtId="10" fontId="34" fillId="0" borderId="40" xfId="28" applyNumberFormat="1" applyFont="1" applyBorder="1">
      <alignment vertical="center"/>
    </xf>
    <xf numFmtId="10" fontId="34" fillId="0" borderId="41" xfId="28" applyNumberFormat="1" applyFont="1" applyBorder="1">
      <alignment vertical="center"/>
    </xf>
    <xf numFmtId="10" fontId="34" fillId="0" borderId="50" xfId="0" applyNumberFormat="1" applyFont="1" applyBorder="1">
      <alignment vertical="center"/>
    </xf>
    <xf numFmtId="11" fontId="34" fillId="0" borderId="11" xfId="0" applyNumberFormat="1" applyFont="1" applyBorder="1" applyAlignment="1">
      <alignment vertical="center"/>
    </xf>
    <xf numFmtId="10" fontId="34" fillId="0" borderId="33" xfId="28" applyNumberFormat="1" applyFont="1" applyBorder="1">
      <alignment vertical="center"/>
    </xf>
    <xf numFmtId="10" fontId="34" fillId="0" borderId="26" xfId="28" applyNumberFormat="1" applyFont="1" applyBorder="1">
      <alignment vertical="center"/>
    </xf>
    <xf numFmtId="10" fontId="34" fillId="0" borderId="51" xfId="28" applyNumberFormat="1" applyFont="1" applyBorder="1">
      <alignment vertical="center"/>
    </xf>
    <xf numFmtId="10" fontId="34" fillId="0" borderId="52" xfId="28" applyNumberFormat="1" applyFont="1" applyBorder="1">
      <alignment vertical="center"/>
    </xf>
    <xf numFmtId="11" fontId="34" fillId="0" borderId="43" xfId="0" applyNumberFormat="1" applyFont="1" applyBorder="1" applyAlignment="1">
      <alignment vertical="center"/>
    </xf>
    <xf numFmtId="10" fontId="34" fillId="0" borderId="39" xfId="28" applyNumberFormat="1" applyFont="1" applyBorder="1">
      <alignment vertical="center"/>
    </xf>
    <xf numFmtId="10" fontId="34" fillId="0" borderId="42" xfId="28" applyNumberFormat="1" applyFont="1" applyBorder="1">
      <alignment vertical="center"/>
    </xf>
    <xf numFmtId="10" fontId="34" fillId="0" borderId="53" xfId="28" applyNumberFormat="1" applyFont="1" applyBorder="1" applyAlignment="1">
      <alignment horizontal="center" vertical="center" wrapText="1"/>
    </xf>
    <xf numFmtId="10" fontId="34" fillId="0" borderId="36" xfId="28" applyNumberFormat="1" applyFont="1" applyBorder="1" applyAlignment="1">
      <alignment horizontal="center" vertical="center" wrapText="1"/>
    </xf>
    <xf numFmtId="10" fontId="34" fillId="0" borderId="54" xfId="28" applyNumberFormat="1" applyFont="1" applyBorder="1" applyAlignment="1">
      <alignment horizontal="center" vertical="center" wrapText="1"/>
    </xf>
    <xf numFmtId="10" fontId="34" fillId="0" borderId="55" xfId="28" applyNumberFormat="1" applyFont="1" applyBorder="1" applyAlignment="1">
      <alignment horizontal="center" vertical="center" wrapText="1"/>
    </xf>
    <xf numFmtId="11" fontId="34" fillId="0" borderId="32" xfId="28" applyNumberFormat="1" applyFont="1" applyBorder="1">
      <alignment vertical="center"/>
    </xf>
    <xf numFmtId="11" fontId="34" fillId="0" borderId="31" xfId="28" applyNumberFormat="1" applyFont="1" applyBorder="1">
      <alignment vertical="center"/>
    </xf>
    <xf numFmtId="11" fontId="34" fillId="0" borderId="45" xfId="28" applyNumberFormat="1" applyFont="1" applyBorder="1">
      <alignment vertical="center"/>
    </xf>
    <xf numFmtId="11" fontId="34" fillId="0" borderId="34" xfId="28" applyNumberFormat="1" applyFont="1" applyBorder="1">
      <alignment vertical="center"/>
    </xf>
    <xf numFmtId="11" fontId="34" fillId="0" borderId="18" xfId="28" applyNumberFormat="1" applyFont="1" applyBorder="1">
      <alignment vertical="center"/>
    </xf>
    <xf numFmtId="11" fontId="34" fillId="0" borderId="47" xfId="28" applyNumberFormat="1" applyFont="1" applyBorder="1">
      <alignment vertical="center"/>
    </xf>
    <xf numFmtId="11" fontId="34" fillId="0" borderId="48" xfId="0" applyNumberFormat="1" applyFont="1" applyBorder="1">
      <alignment vertical="center"/>
    </xf>
    <xf numFmtId="11" fontId="34" fillId="0" borderId="40" xfId="28" applyNumberFormat="1" applyFont="1" applyBorder="1">
      <alignment vertical="center"/>
    </xf>
    <xf numFmtId="11" fontId="34" fillId="0" borderId="50" xfId="0" applyNumberFormat="1" applyFont="1" applyBorder="1">
      <alignment vertical="center"/>
    </xf>
    <xf numFmtId="0" fontId="34" fillId="0" borderId="56" xfId="0" applyFont="1" applyBorder="1" applyAlignment="1">
      <alignment horizontal="center" vertical="center"/>
    </xf>
    <xf numFmtId="11" fontId="34" fillId="0" borderId="35" xfId="28" applyNumberFormat="1" applyFont="1" applyBorder="1" applyAlignment="1">
      <alignment horizontal="center" vertical="center" wrapText="1"/>
    </xf>
    <xf numFmtId="11" fontId="34" fillId="0" borderId="53" xfId="28" applyNumberFormat="1" applyFont="1" applyBorder="1" applyAlignment="1">
      <alignment horizontal="center" vertical="center" wrapText="1"/>
    </xf>
    <xf numFmtId="10" fontId="34" fillId="0" borderId="57" xfId="28" applyNumberFormat="1" applyFont="1" applyBorder="1" applyAlignment="1">
      <alignment horizontal="center" vertical="center" wrapText="1"/>
    </xf>
    <xf numFmtId="10" fontId="34" fillId="0" borderId="35" xfId="28" applyNumberFormat="1" applyFont="1" applyBorder="1" applyAlignment="1">
      <alignment horizontal="center" vertical="center" wrapText="1"/>
    </xf>
    <xf numFmtId="11" fontId="34" fillId="0" borderId="51" xfId="28" applyNumberFormat="1" applyFont="1" applyBorder="1">
      <alignment vertical="center"/>
    </xf>
    <xf numFmtId="11" fontId="34" fillId="0" borderId="52" xfId="28" applyNumberFormat="1" applyFont="1" applyBorder="1">
      <alignment vertical="center"/>
    </xf>
    <xf numFmtId="11" fontId="34" fillId="0" borderId="33" xfId="28" applyNumberFormat="1" applyFont="1" applyBorder="1">
      <alignment vertical="center"/>
    </xf>
    <xf numFmtId="11" fontId="34" fillId="0" borderId="26" xfId="28" applyNumberFormat="1" applyFont="1" applyBorder="1">
      <alignment vertical="center"/>
    </xf>
    <xf numFmtId="11" fontId="34" fillId="0" borderId="39" xfId="28" applyNumberFormat="1" applyFont="1" applyBorder="1">
      <alignment vertical="center"/>
    </xf>
    <xf numFmtId="11" fontId="34" fillId="0" borderId="42" xfId="28" applyNumberFormat="1" applyFont="1" applyBorder="1">
      <alignment vertical="center"/>
    </xf>
    <xf numFmtId="9" fontId="34" fillId="0" borderId="0" xfId="28" applyFont="1">
      <alignment vertical="center"/>
    </xf>
    <xf numFmtId="10" fontId="34" fillId="0" borderId="51" xfId="0" applyNumberFormat="1" applyFont="1" applyBorder="1">
      <alignment vertical="center"/>
    </xf>
    <xf numFmtId="183" fontId="34" fillId="0" borderId="51" xfId="0" applyNumberFormat="1" applyFont="1" applyBorder="1">
      <alignment vertical="center"/>
    </xf>
    <xf numFmtId="183" fontId="34" fillId="0" borderId="52" xfId="0" applyNumberFormat="1" applyFont="1" applyBorder="1">
      <alignment vertical="center"/>
    </xf>
    <xf numFmtId="11" fontId="34" fillId="0" borderId="18" xfId="0" applyNumberFormat="1" applyFont="1" applyBorder="1">
      <alignment vertical="center"/>
    </xf>
    <xf numFmtId="10" fontId="34" fillId="0" borderId="33" xfId="0" applyNumberFormat="1" applyFont="1" applyBorder="1">
      <alignment vertical="center"/>
    </xf>
    <xf numFmtId="183" fontId="34" fillId="0" borderId="33" xfId="0" applyNumberFormat="1" applyFont="1" applyBorder="1">
      <alignment vertical="center"/>
    </xf>
    <xf numFmtId="183" fontId="34" fillId="0" borderId="26" xfId="0" applyNumberFormat="1" applyFont="1" applyBorder="1">
      <alignment vertical="center"/>
    </xf>
    <xf numFmtId="11" fontId="34" fillId="0" borderId="16" xfId="0" applyNumberFormat="1" applyFont="1" applyBorder="1">
      <alignment vertical="center"/>
    </xf>
    <xf numFmtId="11" fontId="34" fillId="0" borderId="36" xfId="0" applyNumberFormat="1" applyFont="1" applyBorder="1">
      <alignment vertical="center"/>
    </xf>
    <xf numFmtId="11" fontId="34" fillId="0" borderId="40" xfId="0" applyNumberFormat="1" applyFont="1" applyBorder="1">
      <alignment vertical="center"/>
    </xf>
    <xf numFmtId="10" fontId="34" fillId="0" borderId="39" xfId="0" applyNumberFormat="1" applyFont="1" applyBorder="1">
      <alignment vertical="center"/>
    </xf>
    <xf numFmtId="181" fontId="34" fillId="0" borderId="41" xfId="0" applyNumberFormat="1" applyFont="1" applyFill="1" applyBorder="1">
      <alignment vertical="center"/>
    </xf>
    <xf numFmtId="183" fontId="34" fillId="0" borderId="39" xfId="0" applyNumberFormat="1" applyFont="1" applyBorder="1">
      <alignment vertical="center"/>
    </xf>
    <xf numFmtId="183" fontId="34" fillId="0" borderId="42" xfId="0" applyNumberFormat="1" applyFont="1" applyBorder="1">
      <alignment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11" fontId="34" fillId="0" borderId="61" xfId="0" applyNumberFormat="1" applyFont="1" applyBorder="1" applyAlignment="1">
      <alignment vertical="center"/>
    </xf>
    <xf numFmtId="11" fontId="34" fillId="0" borderId="38" xfId="0" applyNumberFormat="1" applyFont="1" applyBorder="1" applyAlignment="1">
      <alignment vertical="center"/>
    </xf>
    <xf numFmtId="0" fontId="23" fillId="0" borderId="62" xfId="0" applyNumberFormat="1" applyFont="1" applyBorder="1">
      <alignment vertical="center"/>
    </xf>
    <xf numFmtId="0" fontId="23" fillId="0" borderId="33" xfId="0" applyNumberFormat="1" applyFont="1" applyBorder="1">
      <alignment vertical="center"/>
    </xf>
    <xf numFmtId="0" fontId="23" fillId="0" borderId="63" xfId="0" applyNumberFormat="1" applyFont="1" applyBorder="1">
      <alignment vertical="center"/>
    </xf>
    <xf numFmtId="9" fontId="23" fillId="0" borderId="64" xfId="0" applyNumberFormat="1" applyFont="1" applyBorder="1">
      <alignment vertical="center"/>
    </xf>
    <xf numFmtId="9" fontId="23" fillId="0" borderId="65" xfId="0" applyNumberFormat="1" applyFont="1" applyBorder="1">
      <alignment vertical="center"/>
    </xf>
    <xf numFmtId="9" fontId="23" fillId="0" borderId="66" xfId="0" applyNumberFormat="1" applyFont="1" applyBorder="1">
      <alignment vertical="center"/>
    </xf>
    <xf numFmtId="9" fontId="23" fillId="0" borderId="34" xfId="0" applyNumberFormat="1" applyFont="1" applyBorder="1">
      <alignment vertical="center"/>
    </xf>
    <xf numFmtId="9" fontId="23" fillId="0" borderId="18" xfId="0" applyNumberFormat="1" applyFont="1" applyBorder="1">
      <alignment vertical="center"/>
    </xf>
    <xf numFmtId="9" fontId="23" fillId="0" borderId="26" xfId="0" applyNumberFormat="1" applyFont="1" applyBorder="1">
      <alignment vertical="center"/>
    </xf>
    <xf numFmtId="9" fontId="23" fillId="0" borderId="67" xfId="0" applyNumberFormat="1" applyFont="1" applyBorder="1">
      <alignment vertical="center"/>
    </xf>
    <xf numFmtId="9" fontId="23" fillId="0" borderId="19" xfId="0" applyNumberFormat="1" applyFont="1" applyBorder="1">
      <alignment vertical="center"/>
    </xf>
    <xf numFmtId="9" fontId="23" fillId="0" borderId="25" xfId="0" applyNumberFormat="1" applyFont="1" applyBorder="1">
      <alignment vertical="center"/>
    </xf>
    <xf numFmtId="0" fontId="0" fillId="0" borderId="68" xfId="0" applyBorder="1">
      <alignment vertical="center"/>
    </xf>
    <xf numFmtId="0" fontId="23" fillId="0" borderId="20" xfId="0" applyFont="1" applyBorder="1">
      <alignment vertical="center"/>
    </xf>
    <xf numFmtId="0" fontId="23" fillId="0" borderId="23" xfId="0" applyFont="1" applyBorder="1">
      <alignment vertical="center"/>
    </xf>
    <xf numFmtId="0" fontId="23" fillId="0" borderId="27" xfId="0" applyFont="1" applyBorder="1">
      <alignment vertical="center"/>
    </xf>
    <xf numFmtId="11" fontId="23" fillId="0" borderId="69" xfId="0" applyNumberFormat="1" applyFont="1" applyBorder="1">
      <alignment vertical="center"/>
    </xf>
    <xf numFmtId="11" fontId="23" fillId="0" borderId="11" xfId="0" applyNumberFormat="1" applyFont="1" applyBorder="1">
      <alignment vertical="center"/>
    </xf>
    <xf numFmtId="11" fontId="23" fillId="0" borderId="70" xfId="0" applyNumberFormat="1" applyFont="1" applyBorder="1">
      <alignment vertical="center"/>
    </xf>
    <xf numFmtId="0" fontId="0" fillId="0" borderId="71" xfId="0" applyBorder="1" applyAlignment="1">
      <alignment horizontal="center" vertical="center"/>
    </xf>
    <xf numFmtId="0" fontId="27" fillId="0" borderId="0" xfId="0" applyFont="1">
      <alignment vertical="center"/>
    </xf>
    <xf numFmtId="0" fontId="31" fillId="0" borderId="0" xfId="0" applyFont="1">
      <alignment vertical="center"/>
    </xf>
    <xf numFmtId="0" fontId="26" fillId="0" borderId="72" xfId="0" applyFont="1" applyFill="1" applyBorder="1" applyProtection="1">
      <alignment vertical="center"/>
      <protection hidden="1"/>
    </xf>
    <xf numFmtId="0" fontId="26" fillId="40" borderId="73" xfId="0" applyFont="1" applyFill="1" applyBorder="1" applyProtection="1">
      <alignment vertical="center"/>
      <protection hidden="1"/>
    </xf>
    <xf numFmtId="0" fontId="26" fillId="40" borderId="0" xfId="0" applyFont="1" applyFill="1" applyBorder="1" applyProtection="1">
      <alignment vertical="center"/>
      <protection hidden="1"/>
    </xf>
    <xf numFmtId="0" fontId="23" fillId="0" borderId="0" xfId="0" applyFont="1" applyProtection="1">
      <alignment vertical="center"/>
      <protection hidden="1"/>
    </xf>
    <xf numFmtId="0" fontId="0" fillId="0" borderId="0" xfId="0" applyProtection="1">
      <alignment vertical="center"/>
      <protection hidden="1"/>
    </xf>
    <xf numFmtId="0" fontId="27" fillId="41" borderId="74" xfId="0" applyFont="1" applyFill="1" applyBorder="1" applyProtection="1">
      <alignment vertical="center"/>
      <protection hidden="1"/>
    </xf>
    <xf numFmtId="0" fontId="25" fillId="0" borderId="75" xfId="0" applyFont="1" applyFill="1" applyBorder="1" applyAlignment="1" applyProtection="1">
      <alignment horizontal="center" vertical="center"/>
      <protection hidden="1"/>
    </xf>
    <xf numFmtId="0" fontId="25" fillId="0" borderId="13" xfId="0" applyFont="1" applyFill="1" applyBorder="1" applyAlignment="1" applyProtection="1">
      <alignment horizontal="center" vertical="center"/>
      <protection hidden="1"/>
    </xf>
    <xf numFmtId="0" fontId="25" fillId="0" borderId="76" xfId="0" applyFont="1" applyFill="1" applyBorder="1" applyAlignment="1" applyProtection="1">
      <alignment horizontal="center" vertical="center"/>
      <protection hidden="1"/>
    </xf>
    <xf numFmtId="0" fontId="23" fillId="0" borderId="34" xfId="0" applyFont="1" applyBorder="1" applyProtection="1">
      <alignment vertical="center"/>
      <protection hidden="1"/>
    </xf>
    <xf numFmtId="0" fontId="23" fillId="33" borderId="18" xfId="0" applyFont="1" applyFill="1" applyBorder="1" applyAlignment="1" applyProtection="1">
      <alignment horizontal="center" vertical="center"/>
      <protection hidden="1"/>
    </xf>
    <xf numFmtId="0" fontId="23" fillId="0" borderId="18" xfId="0" applyFont="1" applyBorder="1" applyAlignment="1" applyProtection="1">
      <alignment horizontal="center" vertical="center"/>
      <protection hidden="1"/>
    </xf>
    <xf numFmtId="0" fontId="23" fillId="42" borderId="18" xfId="0" applyFont="1" applyFill="1" applyBorder="1" applyAlignment="1" applyProtection="1">
      <alignment horizontal="center" vertical="center"/>
      <protection hidden="1"/>
    </xf>
    <xf numFmtId="0" fontId="23" fillId="39" borderId="18" xfId="0" applyFont="1" applyFill="1" applyBorder="1" applyAlignment="1" applyProtection="1">
      <alignment horizontal="center" vertical="center"/>
      <protection hidden="1"/>
    </xf>
    <xf numFmtId="0" fontId="25" fillId="40" borderId="77" xfId="0" applyFont="1" applyFill="1" applyBorder="1" applyProtection="1">
      <alignment vertical="center"/>
      <protection hidden="1"/>
    </xf>
    <xf numFmtId="0" fontId="25" fillId="40" borderId="78" xfId="0" applyFont="1" applyFill="1" applyBorder="1" applyProtection="1">
      <alignment vertical="center"/>
      <protection hidden="1"/>
    </xf>
    <xf numFmtId="0" fontId="25" fillId="40" borderId="79" xfId="0" applyFont="1" applyFill="1" applyBorder="1" applyProtection="1">
      <alignment vertical="center"/>
      <protection hidden="1"/>
    </xf>
    <xf numFmtId="181" fontId="23" fillId="0" borderId="34" xfId="0" applyNumberFormat="1" applyFont="1" applyFill="1" applyBorder="1" applyProtection="1">
      <alignment vertical="center"/>
      <protection hidden="1"/>
    </xf>
    <xf numFmtId="181" fontId="23" fillId="0" borderId="18" xfId="0" applyNumberFormat="1" applyFont="1" applyFill="1" applyBorder="1" applyProtection="1">
      <alignment vertical="center"/>
      <protection hidden="1"/>
    </xf>
    <xf numFmtId="178" fontId="23" fillId="0" borderId="18" xfId="0" applyNumberFormat="1" applyFont="1" applyFill="1" applyBorder="1" applyProtection="1">
      <alignment vertical="center"/>
      <protection hidden="1"/>
    </xf>
    <xf numFmtId="0" fontId="23" fillId="0" borderId="0" xfId="0" applyFont="1" applyFill="1" applyProtection="1">
      <alignment vertical="center"/>
      <protection hidden="1"/>
    </xf>
    <xf numFmtId="0" fontId="25" fillId="40" borderId="33" xfId="0" applyFont="1" applyFill="1" applyBorder="1" applyProtection="1">
      <alignment vertical="center"/>
      <protection hidden="1"/>
    </xf>
    <xf numFmtId="0" fontId="25" fillId="40" borderId="18" xfId="0" applyFont="1" applyFill="1" applyBorder="1" applyProtection="1">
      <alignment vertical="center"/>
      <protection hidden="1"/>
    </xf>
    <xf numFmtId="0" fontId="25" fillId="40" borderId="26" xfId="0" applyFont="1" applyFill="1" applyBorder="1" applyProtection="1">
      <alignment vertical="center"/>
      <protection hidden="1"/>
    </xf>
    <xf numFmtId="0" fontId="25" fillId="40" borderId="63" xfId="0" applyFont="1" applyFill="1" applyBorder="1" applyProtection="1">
      <alignment vertical="center"/>
      <protection hidden="1"/>
    </xf>
    <xf numFmtId="0" fontId="25" fillId="0" borderId="0" xfId="0" applyFont="1" applyFill="1" applyBorder="1" applyProtection="1">
      <alignment vertical="center"/>
      <protection hidden="1"/>
    </xf>
    <xf numFmtId="181" fontId="23" fillId="0" borderId="0" xfId="0" applyNumberFormat="1" applyFont="1" applyFill="1" applyBorder="1" applyProtection="1">
      <alignment vertical="center"/>
      <protection hidden="1"/>
    </xf>
    <xf numFmtId="176" fontId="23" fillId="0" borderId="0" xfId="0" applyNumberFormat="1" applyFont="1" applyFill="1" applyBorder="1" applyProtection="1">
      <alignment vertical="center"/>
      <protection hidden="1"/>
    </xf>
    <xf numFmtId="0" fontId="23" fillId="0" borderId="0" xfId="0" applyFont="1" applyBorder="1" applyProtection="1">
      <alignment vertical="center"/>
      <protection hidden="1"/>
    </xf>
    <xf numFmtId="181" fontId="23" fillId="0" borderId="0" xfId="0" applyNumberFormat="1" applyFont="1" applyBorder="1" applyProtection="1">
      <alignment vertical="center"/>
      <protection hidden="1"/>
    </xf>
    <xf numFmtId="0" fontId="27" fillId="41" borderId="80" xfId="0" applyFont="1" applyFill="1" applyBorder="1" applyProtection="1">
      <alignment vertical="center"/>
      <protection hidden="1"/>
    </xf>
    <xf numFmtId="0" fontId="27" fillId="0" borderId="0" xfId="0" applyFont="1" applyFill="1" applyBorder="1" applyProtection="1">
      <alignment vertical="center"/>
      <protection hidden="1"/>
    </xf>
    <xf numFmtId="0" fontId="25" fillId="0" borderId="14" xfId="0" applyFont="1" applyFill="1" applyBorder="1" applyAlignment="1" applyProtection="1">
      <alignment horizontal="center" vertical="center"/>
      <protection hidden="1"/>
    </xf>
    <xf numFmtId="0" fontId="28" fillId="0" borderId="0" xfId="0" applyFont="1" applyProtection="1">
      <alignment vertical="center"/>
      <protection hidden="1"/>
    </xf>
    <xf numFmtId="0" fontId="23" fillId="0" borderId="18" xfId="0" applyFont="1" applyBorder="1" applyProtection="1">
      <alignment vertical="center"/>
      <protection hidden="1"/>
    </xf>
    <xf numFmtId="0" fontId="23" fillId="40" borderId="79" xfId="0" applyFont="1" applyFill="1" applyBorder="1" applyProtection="1">
      <alignment vertical="center"/>
      <protection hidden="1"/>
    </xf>
    <xf numFmtId="0" fontId="23" fillId="0" borderId="0" xfId="0" applyFont="1" applyFill="1" applyBorder="1" applyProtection="1">
      <alignment vertical="center"/>
      <protection hidden="1"/>
    </xf>
    <xf numFmtId="181" fontId="23" fillId="0" borderId="18" xfId="0" applyNumberFormat="1" applyFont="1" applyBorder="1" applyProtection="1">
      <alignment vertical="center"/>
      <protection hidden="1"/>
    </xf>
    <xf numFmtId="0" fontId="23" fillId="40" borderId="26" xfId="0" applyFont="1" applyFill="1" applyBorder="1" applyProtection="1">
      <alignment vertical="center"/>
      <protection hidden="1"/>
    </xf>
    <xf numFmtId="0" fontId="23" fillId="40" borderId="25" xfId="0" applyFont="1" applyFill="1" applyBorder="1" applyProtection="1">
      <alignment vertical="center"/>
      <protection hidden="1"/>
    </xf>
    <xf numFmtId="0" fontId="23" fillId="0" borderId="81" xfId="0" applyNumberFormat="1" applyFont="1" applyFill="1" applyBorder="1" applyProtection="1">
      <alignment vertical="center"/>
      <protection hidden="1"/>
    </xf>
    <xf numFmtId="181" fontId="23" fillId="0" borderId="81" xfId="0" applyNumberFormat="1" applyFont="1" applyFill="1" applyBorder="1" applyProtection="1">
      <alignment vertical="center"/>
      <protection hidden="1"/>
    </xf>
    <xf numFmtId="0" fontId="26" fillId="0" borderId="72" xfId="43" applyFont="1" applyBorder="1" applyProtection="1">
      <alignment vertical="center"/>
      <protection hidden="1"/>
    </xf>
    <xf numFmtId="0" fontId="33" fillId="0" borderId="0" xfId="0" applyFont="1" applyProtection="1">
      <alignment vertical="center"/>
      <protection hidden="1"/>
    </xf>
    <xf numFmtId="0" fontId="32" fillId="0" borderId="0" xfId="0" applyFont="1" applyAlignment="1" applyProtection="1">
      <alignment vertical="center" wrapText="1"/>
      <protection hidden="1"/>
    </xf>
    <xf numFmtId="0" fontId="25" fillId="0" borderId="80" xfId="0" applyFont="1" applyBorder="1" applyAlignment="1" applyProtection="1">
      <alignment horizontal="center" vertical="center"/>
      <protection hidden="1"/>
    </xf>
    <xf numFmtId="0" fontId="25" fillId="0" borderId="10" xfId="0" applyFont="1" applyBorder="1" applyAlignment="1" applyProtection="1">
      <alignment horizontal="center" vertical="center"/>
      <protection hidden="1"/>
    </xf>
    <xf numFmtId="0" fontId="23" fillId="0" borderId="65" xfId="43" applyFont="1" applyFill="1" applyBorder="1" applyAlignment="1" applyProtection="1">
      <alignment horizontal="center" vertical="center"/>
      <protection hidden="1"/>
    </xf>
    <xf numFmtId="11" fontId="23" fillId="43" borderId="18" xfId="43" applyNumberFormat="1" applyFont="1" applyFill="1" applyBorder="1" applyAlignment="1" applyProtection="1">
      <alignment horizontal="center" vertical="center"/>
      <protection hidden="1"/>
    </xf>
    <xf numFmtId="11" fontId="23" fillId="0" borderId="18" xfId="43" applyNumberFormat="1" applyFont="1" applyFill="1" applyBorder="1" applyAlignment="1" applyProtection="1">
      <alignment horizontal="center" vertical="center"/>
      <protection hidden="1"/>
    </xf>
    <xf numFmtId="0" fontId="23" fillId="0" borderId="18" xfId="43" applyFont="1" applyFill="1" applyBorder="1" applyAlignment="1" applyProtection="1">
      <alignment horizontal="center" vertical="center"/>
      <protection hidden="1"/>
    </xf>
    <xf numFmtId="0" fontId="23" fillId="0" borderId="0" xfId="43" applyFont="1" applyAlignment="1" applyProtection="1">
      <alignment horizontal="center" vertical="center"/>
      <protection hidden="1"/>
    </xf>
    <xf numFmtId="0" fontId="23" fillId="0" borderId="80" xfId="43" applyFont="1" applyBorder="1" applyAlignment="1" applyProtection="1">
      <alignment horizontal="center" vertical="center"/>
      <protection hidden="1"/>
    </xf>
    <xf numFmtId="0" fontId="23" fillId="0" borderId="82" xfId="0" applyFont="1" applyBorder="1" applyAlignment="1" applyProtection="1">
      <alignment horizontal="center" vertical="center"/>
      <protection hidden="1"/>
    </xf>
    <xf numFmtId="0" fontId="23" fillId="0" borderId="13" xfId="0" applyFont="1" applyBorder="1" applyAlignment="1" applyProtection="1">
      <alignment horizontal="center" vertical="center"/>
      <protection hidden="1"/>
    </xf>
    <xf numFmtId="0" fontId="23" fillId="0" borderId="75" xfId="43" applyFont="1" applyBorder="1" applyAlignment="1" applyProtection="1">
      <alignment horizontal="center" vertical="center"/>
      <protection hidden="1"/>
    </xf>
    <xf numFmtId="0" fontId="23" fillId="0" borderId="13" xfId="43" applyFont="1" applyBorder="1" applyAlignment="1" applyProtection="1">
      <alignment horizontal="center" vertical="center" wrapText="1"/>
      <protection hidden="1"/>
    </xf>
    <xf numFmtId="0" fontId="23" fillId="0" borderId="13" xfId="43" applyFont="1" applyBorder="1" applyAlignment="1" applyProtection="1">
      <alignment horizontal="center" vertical="center"/>
      <protection hidden="1"/>
    </xf>
    <xf numFmtId="0" fontId="23" fillId="0" borderId="13" xfId="0" applyFont="1" applyBorder="1" applyAlignment="1" applyProtection="1">
      <alignment horizontal="center" vertical="center" wrapText="1"/>
      <protection hidden="1"/>
    </xf>
    <xf numFmtId="0" fontId="23" fillId="0" borderId="14" xfId="0" applyFont="1" applyBorder="1" applyAlignment="1" applyProtection="1">
      <alignment horizontal="center" vertical="center" wrapText="1"/>
      <protection hidden="1"/>
    </xf>
    <xf numFmtId="0" fontId="23" fillId="0" borderId="83" xfId="0" applyFont="1" applyBorder="1" applyAlignment="1" applyProtection="1">
      <alignment horizontal="center" vertical="center"/>
      <protection hidden="1"/>
    </xf>
    <xf numFmtId="0" fontId="23" fillId="0" borderId="73" xfId="0" applyFont="1" applyBorder="1" applyAlignment="1" applyProtection="1">
      <alignment horizontal="center" vertical="center"/>
      <protection hidden="1"/>
    </xf>
    <xf numFmtId="0" fontId="23" fillId="0" borderId="72" xfId="0" applyFont="1" applyBorder="1" applyAlignment="1" applyProtection="1">
      <alignment horizontal="center" vertical="center"/>
      <protection hidden="1"/>
    </xf>
    <xf numFmtId="0" fontId="23" fillId="0" borderId="84" xfId="0" applyFont="1" applyBorder="1" applyAlignment="1" applyProtection="1">
      <alignment horizontal="center" vertical="center"/>
      <protection hidden="1"/>
    </xf>
    <xf numFmtId="0" fontId="23" fillId="0" borderId="85" xfId="0" applyFont="1" applyBorder="1" applyAlignment="1" applyProtection="1">
      <alignment horizontal="center" vertical="center"/>
      <protection hidden="1"/>
    </xf>
    <xf numFmtId="0" fontId="23" fillId="0" borderId="86" xfId="0" applyFont="1" applyBorder="1" applyAlignment="1" applyProtection="1">
      <alignment horizontal="center" vertical="center"/>
      <protection hidden="1"/>
    </xf>
    <xf numFmtId="0" fontId="23" fillId="0" borderId="72" xfId="0" applyFont="1" applyBorder="1" applyAlignment="1" applyProtection="1">
      <alignment horizontal="center" vertical="center" wrapText="1"/>
      <protection hidden="1"/>
    </xf>
    <xf numFmtId="0" fontId="23" fillId="0" borderId="86" xfId="0" applyFont="1" applyBorder="1" applyAlignment="1" applyProtection="1">
      <alignment horizontal="center" vertical="center" wrapText="1"/>
      <protection hidden="1"/>
    </xf>
    <xf numFmtId="0" fontId="23" fillId="0" borderId="87" xfId="0" applyFont="1" applyBorder="1" applyAlignment="1" applyProtection="1">
      <alignment horizontal="center" vertical="center" wrapText="1"/>
      <protection hidden="1"/>
    </xf>
    <xf numFmtId="0" fontId="23" fillId="0" borderId="73" xfId="0" applyFont="1" applyBorder="1" applyAlignment="1" applyProtection="1">
      <alignment horizontal="center" vertical="center" wrapText="1"/>
      <protection hidden="1"/>
    </xf>
    <xf numFmtId="0" fontId="23" fillId="0" borderId="83" xfId="0" applyFont="1" applyBorder="1" applyAlignment="1" applyProtection="1">
      <alignment horizontal="center" vertical="center" wrapText="1"/>
      <protection hidden="1"/>
    </xf>
    <xf numFmtId="0" fontId="23" fillId="0" borderId="87" xfId="43" applyFont="1" applyBorder="1" applyAlignment="1" applyProtection="1">
      <alignment horizontal="center" vertical="center"/>
      <protection hidden="1"/>
    </xf>
    <xf numFmtId="0" fontId="23" fillId="33" borderId="72" xfId="43" applyFont="1" applyFill="1" applyBorder="1" applyAlignment="1" applyProtection="1">
      <alignment horizontal="center" vertical="center"/>
      <protection hidden="1"/>
    </xf>
    <xf numFmtId="0" fontId="23" fillId="33" borderId="86" xfId="43" applyFont="1" applyFill="1" applyBorder="1" applyAlignment="1" applyProtection="1">
      <alignment horizontal="center" vertical="center"/>
      <protection hidden="1"/>
    </xf>
    <xf numFmtId="0" fontId="23" fillId="0" borderId="86" xfId="43" applyFont="1" applyBorder="1" applyAlignment="1" applyProtection="1">
      <alignment horizontal="center" vertical="center"/>
      <protection hidden="1"/>
    </xf>
    <xf numFmtId="0" fontId="23" fillId="33" borderId="86" xfId="43" applyFont="1" applyFill="1" applyBorder="1" applyAlignment="1" applyProtection="1">
      <alignment horizontal="center" vertical="center" wrapText="1"/>
      <protection hidden="1"/>
    </xf>
    <xf numFmtId="0" fontId="23" fillId="33" borderId="87" xfId="43" applyFont="1" applyFill="1" applyBorder="1" applyAlignment="1" applyProtection="1">
      <alignment horizontal="center" vertical="center"/>
      <protection hidden="1"/>
    </xf>
    <xf numFmtId="0" fontId="23" fillId="33" borderId="73" xfId="43" applyFont="1" applyFill="1" applyBorder="1" applyAlignment="1" applyProtection="1">
      <alignment horizontal="center" vertical="center"/>
      <protection hidden="1"/>
    </xf>
    <xf numFmtId="11" fontId="23" fillId="0" borderId="85" xfId="28" applyNumberFormat="1" applyFont="1" applyBorder="1" applyAlignment="1" applyProtection="1">
      <alignment horizontal="center" wrapText="1"/>
      <protection hidden="1"/>
    </xf>
    <xf numFmtId="10" fontId="23" fillId="0" borderId="86" xfId="28" applyNumberFormat="1" applyFont="1" applyBorder="1" applyAlignment="1" applyProtection="1">
      <alignment horizontal="center" wrapText="1"/>
      <protection hidden="1"/>
    </xf>
    <xf numFmtId="10" fontId="23" fillId="0" borderId="87" xfId="28" applyNumberFormat="1" applyFont="1" applyBorder="1" applyAlignment="1" applyProtection="1">
      <alignment horizontal="center" wrapText="1"/>
      <protection hidden="1"/>
    </xf>
    <xf numFmtId="11" fontId="23" fillId="0" borderId="72" xfId="28" applyNumberFormat="1" applyFont="1" applyBorder="1" applyAlignment="1" applyProtection="1">
      <alignment horizontal="center" wrapText="1"/>
      <protection hidden="1"/>
    </xf>
    <xf numFmtId="11" fontId="23" fillId="0" borderId="86" xfId="28" applyNumberFormat="1" applyFont="1" applyBorder="1" applyAlignment="1" applyProtection="1">
      <alignment horizontal="center" wrapText="1"/>
      <protection hidden="1"/>
    </xf>
    <xf numFmtId="11" fontId="23" fillId="0" borderId="73" xfId="28" applyNumberFormat="1" applyFont="1" applyBorder="1" applyAlignment="1" applyProtection="1">
      <alignment horizontal="center" wrapText="1"/>
      <protection hidden="1"/>
    </xf>
    <xf numFmtId="10" fontId="23" fillId="0" borderId="73" xfId="28" applyNumberFormat="1" applyFont="1" applyBorder="1" applyAlignment="1" applyProtection="1">
      <alignment horizontal="center" wrapText="1"/>
      <protection hidden="1"/>
    </xf>
    <xf numFmtId="181" fontId="23" fillId="0" borderId="69" xfId="43" applyNumberFormat="1" applyFont="1" applyBorder="1" applyAlignment="1" applyProtection="1">
      <alignment horizontal="center" vertical="center"/>
      <protection hidden="1"/>
    </xf>
    <xf numFmtId="9" fontId="23" fillId="0" borderId="88" xfId="28" applyNumberFormat="1" applyFont="1" applyFill="1" applyBorder="1" applyAlignment="1" applyProtection="1">
      <alignment horizontal="center" vertical="center"/>
      <protection hidden="1"/>
    </xf>
    <xf numFmtId="9" fontId="23" fillId="0" borderId="78" xfId="28" applyNumberFormat="1" applyFont="1" applyFill="1" applyBorder="1" applyAlignment="1" applyProtection="1">
      <alignment horizontal="center" vertical="center"/>
      <protection hidden="1"/>
    </xf>
    <xf numFmtId="178" fontId="23" fillId="0" borderId="77" xfId="43" applyNumberFormat="1" applyFont="1" applyBorder="1" applyAlignment="1" applyProtection="1">
      <alignment horizontal="center" vertical="center"/>
      <protection hidden="1"/>
    </xf>
    <xf numFmtId="9" fontId="23" fillId="0" borderId="78" xfId="43" applyNumberFormat="1" applyFont="1" applyBorder="1" applyAlignment="1" applyProtection="1">
      <alignment horizontal="center" vertical="center"/>
      <protection hidden="1"/>
    </xf>
    <xf numFmtId="178" fontId="23" fillId="0" borderId="78" xfId="43" applyNumberFormat="1" applyFont="1" applyBorder="1" applyAlignment="1" applyProtection="1">
      <alignment horizontal="center" vertical="center"/>
      <protection hidden="1"/>
    </xf>
    <xf numFmtId="181" fontId="23" fillId="0" borderId="78" xfId="43" applyNumberFormat="1" applyFont="1" applyBorder="1" applyAlignment="1" applyProtection="1">
      <alignment horizontal="center" vertical="center"/>
      <protection hidden="1"/>
    </xf>
    <xf numFmtId="181" fontId="23" fillId="0" borderId="79" xfId="43" applyNumberFormat="1" applyFont="1" applyBorder="1" applyAlignment="1" applyProtection="1">
      <alignment horizontal="center" vertical="center"/>
      <protection hidden="1"/>
    </xf>
    <xf numFmtId="10" fontId="23" fillId="0" borderId="88" xfId="28" applyNumberFormat="1" applyFont="1" applyFill="1" applyBorder="1" applyAlignment="1" applyProtection="1">
      <alignment horizontal="center" vertical="center"/>
      <protection hidden="1"/>
    </xf>
    <xf numFmtId="11" fontId="23" fillId="0" borderId="89" xfId="43" applyNumberFormat="1" applyFont="1" applyFill="1" applyBorder="1" applyAlignment="1" applyProtection="1">
      <alignment horizontal="center" vertical="center"/>
      <protection hidden="1"/>
    </xf>
    <xf numFmtId="10" fontId="23" fillId="0" borderId="77" xfId="43" applyNumberFormat="1" applyFont="1" applyFill="1" applyBorder="1" applyAlignment="1" applyProtection="1">
      <alignment horizontal="center" vertical="center"/>
      <protection hidden="1"/>
    </xf>
    <xf numFmtId="11" fontId="23" fillId="0" borderId="79" xfId="43" applyNumberFormat="1" applyFont="1" applyFill="1" applyBorder="1" applyAlignment="1" applyProtection="1">
      <alignment horizontal="center" vertical="center"/>
      <protection hidden="1"/>
    </xf>
    <xf numFmtId="9" fontId="23" fillId="0" borderId="88" xfId="43" applyNumberFormat="1" applyFont="1" applyBorder="1" applyAlignment="1" applyProtection="1">
      <alignment horizontal="center" vertical="center"/>
      <protection hidden="1"/>
    </xf>
    <xf numFmtId="9" fontId="23" fillId="0" borderId="79" xfId="43" applyNumberFormat="1" applyFont="1" applyBorder="1" applyAlignment="1" applyProtection="1">
      <alignment horizontal="center" vertical="center"/>
      <protection hidden="1"/>
    </xf>
    <xf numFmtId="10" fontId="23" fillId="0" borderId="77" xfId="28" applyNumberFormat="1" applyFont="1" applyBorder="1" applyAlignment="1" applyProtection="1">
      <alignment horizontal="center" vertical="center"/>
      <protection hidden="1"/>
    </xf>
    <xf numFmtId="11" fontId="23" fillId="0" borderId="78" xfId="43" applyNumberFormat="1" applyFont="1" applyBorder="1" applyAlignment="1" applyProtection="1">
      <alignment horizontal="center" vertical="center"/>
      <protection hidden="1"/>
    </xf>
    <xf numFmtId="9" fontId="23" fillId="0" borderId="78" xfId="28" applyFont="1" applyBorder="1" applyAlignment="1" applyProtection="1">
      <alignment horizontal="center" vertical="center"/>
      <protection hidden="1"/>
    </xf>
    <xf numFmtId="9" fontId="23" fillId="0" borderId="79" xfId="28" applyFont="1" applyBorder="1" applyAlignment="1" applyProtection="1">
      <alignment horizontal="center" vertical="center"/>
      <protection hidden="1"/>
    </xf>
    <xf numFmtId="9" fontId="23" fillId="0" borderId="77" xfId="28" applyFont="1" applyBorder="1" applyAlignment="1" applyProtection="1">
      <alignment horizontal="center" vertical="center"/>
      <protection hidden="1"/>
    </xf>
    <xf numFmtId="9" fontId="23" fillId="0" borderId="89" xfId="28" applyFont="1" applyBorder="1" applyAlignment="1" applyProtection="1">
      <alignment horizontal="center" vertical="center"/>
      <protection hidden="1"/>
    </xf>
    <xf numFmtId="9" fontId="23" fillId="0" borderId="61" xfId="28" applyFont="1" applyBorder="1" applyAlignment="1" applyProtection="1">
      <alignment horizontal="center" vertical="center"/>
      <protection hidden="1"/>
    </xf>
    <xf numFmtId="9" fontId="23" fillId="0" borderId="90" xfId="28" applyFont="1" applyBorder="1" applyAlignment="1" applyProtection="1">
      <alignment horizontal="center" vertical="center"/>
      <protection hidden="1"/>
    </xf>
    <xf numFmtId="9" fontId="23" fillId="0" borderId="91" xfId="28" applyFont="1" applyBorder="1" applyAlignment="1" applyProtection="1">
      <alignment horizontal="center" vertical="center"/>
      <protection hidden="1"/>
    </xf>
    <xf numFmtId="182" fontId="23" fillId="0" borderId="77" xfId="28" applyNumberFormat="1" applyFont="1" applyBorder="1" applyAlignment="1" applyProtection="1">
      <alignment horizontal="center" vertical="center"/>
      <protection hidden="1"/>
    </xf>
    <xf numFmtId="182" fontId="23" fillId="0" borderId="79" xfId="28" applyNumberFormat="1" applyFont="1" applyBorder="1" applyAlignment="1" applyProtection="1">
      <alignment horizontal="center" vertical="center"/>
      <protection hidden="1"/>
    </xf>
    <xf numFmtId="11" fontId="23" fillId="0" borderId="30" xfId="43" applyNumberFormat="1" applyFont="1" applyBorder="1" applyAlignment="1" applyProtection="1">
      <alignment horizontal="center" vertical="center"/>
      <protection hidden="1"/>
    </xf>
    <xf numFmtId="11" fontId="23" fillId="0" borderId="65" xfId="43" applyNumberFormat="1" applyFont="1" applyBorder="1" applyAlignment="1" applyProtection="1">
      <alignment horizontal="center" vertical="center"/>
      <protection hidden="1"/>
    </xf>
    <xf numFmtId="11" fontId="23" fillId="0" borderId="92" xfId="43" applyNumberFormat="1" applyFont="1" applyBorder="1" applyAlignment="1" applyProtection="1">
      <alignment horizontal="center" vertical="center"/>
      <protection hidden="1"/>
    </xf>
    <xf numFmtId="11" fontId="23" fillId="0" borderId="66" xfId="43" applyNumberFormat="1" applyFont="1" applyBorder="1" applyAlignment="1" applyProtection="1">
      <alignment horizontal="center" vertical="center"/>
      <protection hidden="1"/>
    </xf>
    <xf numFmtId="9" fontId="23" fillId="0" borderId="64" xfId="28" applyFont="1" applyBorder="1" applyProtection="1">
      <alignment vertical="center"/>
      <protection hidden="1"/>
    </xf>
    <xf numFmtId="9" fontId="23" fillId="0" borderId="65" xfId="28" applyFont="1" applyBorder="1" applyProtection="1">
      <alignment vertical="center"/>
      <protection hidden="1"/>
    </xf>
    <xf numFmtId="9" fontId="23" fillId="0" borderId="92" xfId="28" applyFont="1" applyBorder="1" applyProtection="1">
      <alignment vertical="center"/>
      <protection hidden="1"/>
    </xf>
    <xf numFmtId="9" fontId="23" fillId="0" borderId="30" xfId="28" applyFont="1" applyBorder="1" applyProtection="1">
      <alignment vertical="center"/>
      <protection hidden="1"/>
    </xf>
    <xf numFmtId="9" fontId="23" fillId="0" borderId="66" xfId="28" applyFont="1" applyBorder="1" applyProtection="1">
      <alignment vertical="center"/>
      <protection hidden="1"/>
    </xf>
    <xf numFmtId="181" fontId="23" fillId="0" borderId="11" xfId="43" applyNumberFormat="1" applyFont="1" applyBorder="1" applyAlignment="1" applyProtection="1">
      <alignment horizontal="center" vertical="center"/>
      <protection hidden="1"/>
    </xf>
    <xf numFmtId="9" fontId="23" fillId="0" borderId="34" xfId="28" applyNumberFormat="1" applyFont="1" applyFill="1" applyBorder="1" applyAlignment="1" applyProtection="1">
      <alignment horizontal="center" vertical="center"/>
      <protection hidden="1"/>
    </xf>
    <xf numFmtId="9" fontId="23" fillId="0" borderId="18" xfId="28" applyNumberFormat="1" applyFont="1" applyFill="1" applyBorder="1" applyAlignment="1" applyProtection="1">
      <alignment horizontal="center" vertical="center"/>
      <protection hidden="1"/>
    </xf>
    <xf numFmtId="178" fontId="23" fillId="0" borderId="33" xfId="43" applyNumberFormat="1" applyFont="1" applyBorder="1" applyAlignment="1" applyProtection="1">
      <alignment horizontal="center" vertical="center"/>
      <protection hidden="1"/>
    </xf>
    <xf numFmtId="9" fontId="23" fillId="0" borderId="18" xfId="43" applyNumberFormat="1" applyFont="1" applyBorder="1" applyAlignment="1" applyProtection="1">
      <alignment horizontal="center" vertical="center"/>
      <protection hidden="1"/>
    </xf>
    <xf numFmtId="178" fontId="23" fillId="0" borderId="18" xfId="43" applyNumberFormat="1" applyFont="1" applyBorder="1" applyAlignment="1" applyProtection="1">
      <alignment horizontal="center" vertical="center"/>
      <protection hidden="1"/>
    </xf>
    <xf numFmtId="181" fontId="23" fillId="0" borderId="18" xfId="43" applyNumberFormat="1" applyFont="1" applyBorder="1" applyAlignment="1" applyProtection="1">
      <alignment horizontal="center" vertical="center"/>
      <protection hidden="1"/>
    </xf>
    <xf numFmtId="181" fontId="23" fillId="0" borderId="26" xfId="43" applyNumberFormat="1" applyFont="1" applyBorder="1" applyAlignment="1" applyProtection="1">
      <alignment horizontal="center" vertical="center"/>
      <protection hidden="1"/>
    </xf>
    <xf numFmtId="10" fontId="23" fillId="0" borderId="64" xfId="28" applyNumberFormat="1" applyFont="1" applyFill="1" applyBorder="1" applyAlignment="1" applyProtection="1">
      <alignment horizontal="center" vertical="center"/>
      <protection hidden="1"/>
    </xf>
    <xf numFmtId="11" fontId="23" fillId="0" borderId="92" xfId="43" applyNumberFormat="1" applyFont="1" applyFill="1" applyBorder="1" applyAlignment="1" applyProtection="1">
      <alignment horizontal="center" vertical="center"/>
      <protection hidden="1"/>
    </xf>
    <xf numFmtId="10" fontId="23" fillId="0" borderId="33" xfId="43" applyNumberFormat="1" applyFont="1" applyFill="1" applyBorder="1" applyAlignment="1" applyProtection="1">
      <alignment horizontal="center" vertical="center"/>
      <protection hidden="1"/>
    </xf>
    <xf numFmtId="11" fontId="23" fillId="0" borderId="26" xfId="43" applyNumberFormat="1" applyFont="1" applyFill="1" applyBorder="1" applyAlignment="1" applyProtection="1">
      <alignment horizontal="center" vertical="center"/>
      <protection hidden="1"/>
    </xf>
    <xf numFmtId="9" fontId="23" fillId="0" borderId="34" xfId="43" applyNumberFormat="1" applyFont="1" applyBorder="1" applyAlignment="1" applyProtection="1">
      <alignment horizontal="center" vertical="center"/>
      <protection hidden="1"/>
    </xf>
    <xf numFmtId="9" fontId="23" fillId="0" borderId="26" xfId="43" applyNumberFormat="1" applyFont="1" applyBorder="1" applyAlignment="1" applyProtection="1">
      <alignment horizontal="center" vertical="center"/>
      <protection hidden="1"/>
    </xf>
    <xf numFmtId="10" fontId="23" fillId="0" borderId="30" xfId="28" applyNumberFormat="1" applyFont="1" applyBorder="1" applyAlignment="1" applyProtection="1">
      <alignment horizontal="center" vertical="center"/>
      <protection hidden="1"/>
    </xf>
    <xf numFmtId="9" fontId="23" fillId="0" borderId="65" xfId="28" applyFont="1" applyBorder="1" applyAlignment="1" applyProtection="1">
      <alignment horizontal="center" vertical="center"/>
      <protection hidden="1"/>
    </xf>
    <xf numFmtId="9" fontId="23" fillId="0" borderId="30" xfId="28" applyFont="1" applyBorder="1" applyAlignment="1" applyProtection="1">
      <alignment horizontal="center" vertical="center"/>
      <protection hidden="1"/>
    </xf>
    <xf numFmtId="9" fontId="23" fillId="0" borderId="18" xfId="28" applyFont="1" applyBorder="1" applyAlignment="1" applyProtection="1">
      <alignment horizontal="center" vertical="center"/>
      <protection hidden="1"/>
    </xf>
    <xf numFmtId="9" fontId="23" fillId="0" borderId="47" xfId="28" applyFont="1" applyBorder="1" applyAlignment="1" applyProtection="1">
      <alignment horizontal="center" vertical="center"/>
      <protection hidden="1"/>
    </xf>
    <xf numFmtId="9" fontId="23" fillId="0" borderId="33" xfId="28" applyFont="1" applyBorder="1" applyAlignment="1" applyProtection="1">
      <alignment horizontal="center" vertical="center"/>
      <protection hidden="1"/>
    </xf>
    <xf numFmtId="9" fontId="23" fillId="0" borderId="11" xfId="28" applyFont="1" applyBorder="1" applyAlignment="1" applyProtection="1">
      <alignment horizontal="center" vertical="center"/>
      <protection hidden="1"/>
    </xf>
    <xf numFmtId="9" fontId="23" fillId="0" borderId="93" xfId="28" applyFont="1" applyBorder="1" applyAlignment="1" applyProtection="1">
      <alignment horizontal="center" vertical="center"/>
      <protection hidden="1"/>
    </xf>
    <xf numFmtId="9" fontId="23" fillId="0" borderId="94" xfId="28" applyFont="1" applyBorder="1" applyAlignment="1" applyProtection="1">
      <alignment horizontal="center" vertical="center"/>
      <protection hidden="1"/>
    </xf>
    <xf numFmtId="9" fontId="23" fillId="0" borderId="26" xfId="28" applyFont="1" applyBorder="1" applyAlignment="1" applyProtection="1">
      <alignment horizontal="center" vertical="center"/>
      <protection hidden="1"/>
    </xf>
    <xf numFmtId="182" fontId="23" fillId="0" borderId="30" xfId="28" applyNumberFormat="1" applyFont="1" applyBorder="1" applyAlignment="1" applyProtection="1">
      <alignment horizontal="center" vertical="center"/>
      <protection hidden="1"/>
    </xf>
    <xf numFmtId="182" fontId="23" fillId="0" borderId="66" xfId="28" applyNumberFormat="1" applyFont="1" applyBorder="1" applyAlignment="1" applyProtection="1">
      <alignment horizontal="center" vertical="center"/>
      <protection hidden="1"/>
    </xf>
    <xf numFmtId="11" fontId="23" fillId="0" borderId="33" xfId="43" applyNumberFormat="1" applyFont="1" applyBorder="1" applyAlignment="1" applyProtection="1">
      <alignment horizontal="center" vertical="center"/>
      <protection hidden="1"/>
    </xf>
    <xf numFmtId="11" fontId="23" fillId="0" borderId="18" xfId="43" applyNumberFormat="1" applyFont="1" applyBorder="1" applyAlignment="1" applyProtection="1">
      <alignment horizontal="center" vertical="center"/>
      <protection hidden="1"/>
    </xf>
    <xf numFmtId="11" fontId="23" fillId="0" borderId="47" xfId="43" applyNumberFormat="1" applyFont="1" applyBorder="1" applyAlignment="1" applyProtection="1">
      <alignment horizontal="center" vertical="center"/>
      <protection hidden="1"/>
    </xf>
    <xf numFmtId="9" fontId="23" fillId="0" borderId="34" xfId="28" applyFont="1" applyBorder="1" applyProtection="1">
      <alignment vertical="center"/>
      <protection hidden="1"/>
    </xf>
    <xf numFmtId="9" fontId="23" fillId="0" borderId="18" xfId="28" applyFont="1" applyBorder="1" applyProtection="1">
      <alignment vertical="center"/>
      <protection hidden="1"/>
    </xf>
    <xf numFmtId="9" fontId="23" fillId="0" borderId="47" xfId="28" applyFont="1" applyBorder="1" applyProtection="1">
      <alignment vertical="center"/>
      <protection hidden="1"/>
    </xf>
    <xf numFmtId="9" fontId="23" fillId="0" borderId="33" xfId="28" applyFont="1" applyBorder="1" applyProtection="1">
      <alignment vertical="center"/>
      <protection hidden="1"/>
    </xf>
    <xf numFmtId="9" fontId="23" fillId="0" borderId="26" xfId="28" applyFont="1" applyBorder="1" applyProtection="1">
      <alignment vertical="center"/>
      <protection hidden="1"/>
    </xf>
    <xf numFmtId="10" fontId="23" fillId="0" borderId="34" xfId="28" applyNumberFormat="1" applyFont="1" applyFill="1" applyBorder="1" applyAlignment="1" applyProtection="1">
      <alignment horizontal="center" vertical="center"/>
      <protection hidden="1"/>
    </xf>
    <xf numFmtId="11" fontId="23" fillId="0" borderId="47" xfId="43" applyNumberFormat="1" applyFont="1" applyFill="1" applyBorder="1" applyAlignment="1" applyProtection="1">
      <alignment horizontal="center" vertical="center"/>
      <protection hidden="1"/>
    </xf>
    <xf numFmtId="10" fontId="23" fillId="0" borderId="33" xfId="28" applyNumberFormat="1" applyFont="1" applyBorder="1" applyAlignment="1" applyProtection="1">
      <alignment horizontal="center" vertical="center"/>
      <protection hidden="1"/>
    </xf>
    <xf numFmtId="182" fontId="23" fillId="0" borderId="33" xfId="28" applyNumberFormat="1" applyFont="1" applyBorder="1" applyAlignment="1" applyProtection="1">
      <alignment horizontal="center" vertical="center"/>
      <protection hidden="1"/>
    </xf>
    <xf numFmtId="182" fontId="23" fillId="0" borderId="26" xfId="28" applyNumberFormat="1" applyFont="1" applyBorder="1" applyAlignment="1" applyProtection="1">
      <alignment horizontal="center" vertical="center"/>
      <protection hidden="1"/>
    </xf>
    <xf numFmtId="181" fontId="23" fillId="0" borderId="70" xfId="43" applyNumberFormat="1" applyFont="1" applyBorder="1" applyAlignment="1" applyProtection="1">
      <alignment horizontal="center" vertical="center"/>
      <protection hidden="1"/>
    </xf>
    <xf numFmtId="9" fontId="23" fillId="0" borderId="67" xfId="28" applyNumberFormat="1" applyFont="1" applyFill="1" applyBorder="1" applyAlignment="1" applyProtection="1">
      <alignment horizontal="center" vertical="center"/>
      <protection hidden="1"/>
    </xf>
    <xf numFmtId="9" fontId="23" fillId="0" borderId="19" xfId="28" applyNumberFormat="1" applyFont="1" applyFill="1" applyBorder="1" applyAlignment="1" applyProtection="1">
      <alignment horizontal="center" vertical="center"/>
      <protection hidden="1"/>
    </xf>
    <xf numFmtId="178" fontId="23" fillId="0" borderId="95" xfId="43" applyNumberFormat="1" applyFont="1" applyBorder="1" applyAlignment="1" applyProtection="1">
      <alignment horizontal="center" vertical="center"/>
      <protection hidden="1"/>
    </xf>
    <xf numFmtId="9" fontId="23" fillId="0" borderId="96" xfId="43" applyNumberFormat="1" applyFont="1" applyBorder="1" applyAlignment="1" applyProtection="1">
      <alignment horizontal="center" vertical="center"/>
      <protection hidden="1"/>
    </xf>
    <xf numFmtId="178" fontId="23" fillId="0" borderId="96" xfId="43" applyNumberFormat="1" applyFont="1" applyBorder="1" applyAlignment="1" applyProtection="1">
      <alignment horizontal="center" vertical="center"/>
      <protection hidden="1"/>
    </xf>
    <xf numFmtId="181" fontId="23" fillId="0" borderId="96" xfId="43" applyNumberFormat="1" applyFont="1" applyBorder="1" applyAlignment="1" applyProtection="1">
      <alignment horizontal="center" vertical="center"/>
      <protection hidden="1"/>
    </xf>
    <xf numFmtId="181" fontId="23" fillId="0" borderId="97" xfId="43" applyNumberFormat="1" applyFont="1" applyBorder="1" applyAlignment="1" applyProtection="1">
      <alignment horizontal="center" vertical="center"/>
      <protection hidden="1"/>
    </xf>
    <xf numFmtId="10" fontId="23" fillId="0" borderId="98" xfId="28" applyNumberFormat="1" applyFont="1" applyFill="1" applyBorder="1" applyAlignment="1" applyProtection="1">
      <alignment horizontal="center" vertical="center"/>
      <protection hidden="1"/>
    </xf>
    <xf numFmtId="11" fontId="23" fillId="0" borderId="99" xfId="43" applyNumberFormat="1" applyFont="1" applyFill="1" applyBorder="1" applyAlignment="1" applyProtection="1">
      <alignment horizontal="center" vertical="center"/>
      <protection hidden="1"/>
    </xf>
    <xf numFmtId="10" fontId="23" fillId="0" borderId="95" xfId="43" applyNumberFormat="1" applyFont="1" applyFill="1" applyBorder="1" applyAlignment="1" applyProtection="1">
      <alignment horizontal="center" vertical="center"/>
      <protection hidden="1"/>
    </xf>
    <xf numFmtId="11" fontId="23" fillId="0" borderId="97" xfId="43" applyNumberFormat="1" applyFont="1" applyFill="1" applyBorder="1" applyAlignment="1" applyProtection="1">
      <alignment horizontal="center" vertical="center"/>
      <protection hidden="1"/>
    </xf>
    <xf numFmtId="9" fontId="23" fillId="0" borderId="98" xfId="43" applyNumberFormat="1" applyFont="1" applyBorder="1" applyAlignment="1" applyProtection="1">
      <alignment horizontal="center" vertical="center"/>
      <protection hidden="1"/>
    </xf>
    <xf numFmtId="9" fontId="23" fillId="0" borderId="97" xfId="43" applyNumberFormat="1" applyFont="1" applyBorder="1" applyAlignment="1" applyProtection="1">
      <alignment horizontal="center" vertical="center"/>
      <protection hidden="1"/>
    </xf>
    <xf numFmtId="10" fontId="23" fillId="0" borderId="95" xfId="28" applyNumberFormat="1" applyFont="1" applyBorder="1" applyAlignment="1" applyProtection="1">
      <alignment horizontal="center" vertical="center"/>
      <protection hidden="1"/>
    </xf>
    <xf numFmtId="11" fontId="23" fillId="0" borderId="96" xfId="43" applyNumberFormat="1" applyFont="1" applyBorder="1" applyAlignment="1" applyProtection="1">
      <alignment horizontal="center" vertical="center"/>
      <protection hidden="1"/>
    </xf>
    <xf numFmtId="9" fontId="23" fillId="0" borderId="96" xfId="28" applyFont="1" applyBorder="1" applyAlignment="1" applyProtection="1">
      <alignment horizontal="center" vertical="center"/>
      <protection hidden="1"/>
    </xf>
    <xf numFmtId="9" fontId="23" fillId="0" borderId="97" xfId="28" applyFont="1" applyBorder="1" applyAlignment="1" applyProtection="1">
      <alignment horizontal="center" vertical="center"/>
      <protection hidden="1"/>
    </xf>
    <xf numFmtId="9" fontId="23" fillId="0" borderId="95" xfId="28" applyFont="1" applyBorder="1" applyAlignment="1" applyProtection="1">
      <alignment horizontal="center" vertical="center"/>
      <protection hidden="1"/>
    </xf>
    <xf numFmtId="9" fontId="23" fillId="0" borderId="31" xfId="28" applyFont="1" applyBorder="1" applyAlignment="1" applyProtection="1">
      <alignment horizontal="center" vertical="center"/>
      <protection hidden="1"/>
    </xf>
    <xf numFmtId="9" fontId="23" fillId="0" borderId="99" xfId="28" applyFont="1" applyBorder="1" applyAlignment="1" applyProtection="1">
      <alignment horizontal="center" vertical="center"/>
      <protection hidden="1"/>
    </xf>
    <xf numFmtId="9" fontId="23" fillId="0" borderId="100" xfId="28" applyFont="1" applyBorder="1" applyAlignment="1" applyProtection="1">
      <alignment horizontal="center" vertical="center"/>
      <protection hidden="1"/>
    </xf>
    <xf numFmtId="9" fontId="23" fillId="0" borderId="81" xfId="28" applyFont="1" applyBorder="1" applyAlignment="1" applyProtection="1">
      <alignment horizontal="center" vertical="center"/>
      <protection hidden="1"/>
    </xf>
    <xf numFmtId="9" fontId="23" fillId="0" borderId="101" xfId="28" applyFont="1" applyBorder="1" applyAlignment="1" applyProtection="1">
      <alignment horizontal="center" vertical="center"/>
      <protection hidden="1"/>
    </xf>
    <xf numFmtId="182" fontId="23" fillId="0" borderId="95" xfId="28" applyNumberFormat="1" applyFont="1" applyBorder="1" applyAlignment="1" applyProtection="1">
      <alignment horizontal="center" vertical="center"/>
      <protection hidden="1"/>
    </xf>
    <xf numFmtId="182" fontId="23" fillId="0" borderId="97" xfId="28" applyNumberFormat="1" applyFont="1" applyBorder="1" applyAlignment="1" applyProtection="1">
      <alignment horizontal="center" vertical="center"/>
      <protection hidden="1"/>
    </xf>
    <xf numFmtId="11" fontId="23" fillId="0" borderId="95" xfId="43" applyNumberFormat="1" applyFont="1" applyBorder="1" applyAlignment="1" applyProtection="1">
      <alignment horizontal="center" vertical="center"/>
      <protection hidden="1"/>
    </xf>
    <xf numFmtId="11" fontId="23" fillId="0" borderId="99" xfId="43" applyNumberFormat="1" applyFont="1" applyBorder="1" applyAlignment="1" applyProtection="1">
      <alignment horizontal="center" vertical="center"/>
      <protection hidden="1"/>
    </xf>
    <xf numFmtId="11" fontId="23" fillId="0" borderId="31" xfId="43" applyNumberFormat="1" applyFont="1" applyBorder="1" applyAlignment="1" applyProtection="1">
      <alignment horizontal="center" vertical="center"/>
      <protection hidden="1"/>
    </xf>
    <xf numFmtId="11" fontId="23" fillId="0" borderId="52" xfId="43" applyNumberFormat="1" applyFont="1" applyBorder="1" applyAlignment="1" applyProtection="1">
      <alignment horizontal="center" vertical="center"/>
      <protection hidden="1"/>
    </xf>
    <xf numFmtId="0" fontId="23" fillId="0" borderId="21" xfId="43" applyFont="1" applyBorder="1" applyProtection="1">
      <alignment vertical="center"/>
      <protection hidden="1"/>
    </xf>
    <xf numFmtId="11" fontId="23" fillId="0" borderId="21" xfId="43" applyNumberFormat="1" applyFont="1" applyBorder="1" applyProtection="1">
      <alignment vertical="center"/>
      <protection hidden="1"/>
    </xf>
    <xf numFmtId="0" fontId="23" fillId="0" borderId="0" xfId="43" applyFont="1" applyProtection="1">
      <alignment vertical="center"/>
      <protection hidden="1"/>
    </xf>
    <xf numFmtId="9" fontId="23" fillId="0" borderId="0" xfId="28" applyFont="1" applyFill="1" applyBorder="1" applyAlignment="1" applyProtection="1">
      <alignment horizontal="center" vertical="center"/>
      <protection hidden="1"/>
    </xf>
    <xf numFmtId="178" fontId="23" fillId="0" borderId="39" xfId="43" applyNumberFormat="1" applyFont="1" applyBorder="1" applyAlignment="1" applyProtection="1">
      <alignment horizontal="center" vertical="center"/>
      <protection hidden="1"/>
    </xf>
    <xf numFmtId="9" fontId="23" fillId="0" borderId="40" xfId="43" applyNumberFormat="1" applyFont="1" applyBorder="1" applyAlignment="1" applyProtection="1">
      <alignment horizontal="center" vertical="center"/>
      <protection hidden="1"/>
    </xf>
    <xf numFmtId="178" fontId="23" fillId="0" borderId="40" xfId="43" applyNumberFormat="1" applyFont="1" applyBorder="1" applyAlignment="1" applyProtection="1">
      <alignment horizontal="center" vertical="center"/>
      <protection hidden="1"/>
    </xf>
    <xf numFmtId="181" fontId="23" fillId="0" borderId="40" xfId="43" applyNumberFormat="1" applyFont="1" applyBorder="1" applyAlignment="1" applyProtection="1">
      <alignment horizontal="center" vertical="center"/>
      <protection hidden="1"/>
    </xf>
    <xf numFmtId="181" fontId="23" fillId="0" borderId="42" xfId="43" applyNumberFormat="1" applyFont="1" applyBorder="1" applyAlignment="1" applyProtection="1">
      <alignment horizontal="center" vertical="center"/>
      <protection hidden="1"/>
    </xf>
    <xf numFmtId="10" fontId="23" fillId="0" borderId="44" xfId="28" applyNumberFormat="1" applyFont="1" applyFill="1" applyBorder="1" applyAlignment="1" applyProtection="1">
      <alignment horizontal="center" vertical="center"/>
      <protection hidden="1"/>
    </xf>
    <xf numFmtId="11" fontId="23" fillId="0" borderId="102" xfId="43" applyNumberFormat="1" applyFont="1" applyFill="1" applyBorder="1" applyAlignment="1" applyProtection="1">
      <alignment horizontal="center" vertical="center"/>
      <protection hidden="1"/>
    </xf>
    <xf numFmtId="10" fontId="23" fillId="0" borderId="39" xfId="43" applyNumberFormat="1" applyFont="1" applyFill="1" applyBorder="1" applyAlignment="1" applyProtection="1">
      <alignment horizontal="center" vertical="center"/>
      <protection hidden="1"/>
    </xf>
    <xf numFmtId="9" fontId="23" fillId="0" borderId="39" xfId="43" applyNumberFormat="1" applyFont="1" applyBorder="1" applyAlignment="1" applyProtection="1">
      <alignment horizontal="center" vertical="center"/>
      <protection hidden="1"/>
    </xf>
    <xf numFmtId="9" fontId="23" fillId="0" borderId="42" xfId="43" applyNumberFormat="1" applyFont="1" applyBorder="1" applyAlignment="1" applyProtection="1">
      <alignment horizontal="center" vertical="center"/>
      <protection hidden="1"/>
    </xf>
    <xf numFmtId="10" fontId="23" fillId="0" borderId="39" xfId="28" applyNumberFormat="1" applyFont="1" applyBorder="1" applyAlignment="1" applyProtection="1">
      <alignment horizontal="center" vertical="center"/>
      <protection hidden="1"/>
    </xf>
    <xf numFmtId="11" fontId="23" fillId="0" borderId="102" xfId="43" applyNumberFormat="1" applyFont="1" applyBorder="1" applyAlignment="1" applyProtection="1">
      <alignment horizontal="center" vertical="center"/>
      <protection hidden="1"/>
    </xf>
    <xf numFmtId="9" fontId="23" fillId="0" borderId="40" xfId="28" applyFont="1" applyBorder="1" applyAlignment="1" applyProtection="1">
      <alignment horizontal="center" vertical="center"/>
      <protection hidden="1"/>
    </xf>
    <xf numFmtId="9" fontId="23" fillId="0" borderId="42" xfId="28" applyFont="1" applyBorder="1" applyAlignment="1" applyProtection="1">
      <alignment horizontal="center" vertical="center"/>
      <protection hidden="1"/>
    </xf>
    <xf numFmtId="9" fontId="23" fillId="0" borderId="39" xfId="28" applyFont="1" applyBorder="1" applyAlignment="1" applyProtection="1">
      <alignment horizontal="center" vertical="center"/>
      <protection hidden="1"/>
    </xf>
    <xf numFmtId="9" fontId="23" fillId="0" borderId="41" xfId="28" applyFont="1" applyBorder="1" applyAlignment="1" applyProtection="1">
      <alignment horizontal="center" vertical="center"/>
      <protection hidden="1"/>
    </xf>
    <xf numFmtId="9" fontId="23" fillId="0" borderId="43" xfId="28" applyFont="1" applyBorder="1" applyAlignment="1" applyProtection="1">
      <alignment horizontal="center" vertical="center"/>
      <protection hidden="1"/>
    </xf>
    <xf numFmtId="9" fontId="23" fillId="0" borderId="102" xfId="28" applyFont="1" applyBorder="1" applyAlignment="1" applyProtection="1">
      <alignment horizontal="center" vertical="center"/>
      <protection hidden="1"/>
    </xf>
    <xf numFmtId="9" fontId="23" fillId="0" borderId="103" xfId="28" applyFont="1" applyBorder="1" applyAlignment="1" applyProtection="1">
      <alignment horizontal="center" vertical="center"/>
      <protection hidden="1"/>
    </xf>
    <xf numFmtId="182" fontId="23" fillId="0" borderId="39" xfId="28" applyNumberFormat="1" applyFont="1" applyBorder="1" applyAlignment="1" applyProtection="1">
      <alignment horizontal="center" vertical="center"/>
      <protection hidden="1"/>
    </xf>
    <xf numFmtId="182" fontId="23" fillId="0" borderId="42" xfId="28" applyNumberFormat="1" applyFont="1" applyBorder="1" applyAlignment="1" applyProtection="1">
      <alignment horizontal="center" vertical="center"/>
      <protection hidden="1"/>
    </xf>
    <xf numFmtId="11" fontId="23" fillId="0" borderId="39" xfId="43" applyNumberFormat="1" applyFont="1" applyBorder="1" applyAlignment="1" applyProtection="1">
      <alignment horizontal="center" vertical="center"/>
      <protection hidden="1"/>
    </xf>
    <xf numFmtId="11" fontId="23" fillId="0" borderId="40" xfId="43" applyNumberFormat="1" applyFont="1" applyBorder="1" applyAlignment="1" applyProtection="1">
      <alignment horizontal="center" vertical="center"/>
      <protection hidden="1"/>
    </xf>
    <xf numFmtId="11" fontId="23" fillId="0" borderId="41" xfId="43" applyNumberFormat="1" applyFont="1" applyBorder="1" applyAlignment="1" applyProtection="1">
      <alignment horizontal="center" vertical="center"/>
      <protection hidden="1"/>
    </xf>
    <xf numFmtId="11" fontId="23" fillId="0" borderId="42" xfId="43" applyNumberFormat="1" applyFont="1" applyBorder="1" applyAlignment="1" applyProtection="1">
      <alignment horizontal="center" vertical="center"/>
      <protection hidden="1"/>
    </xf>
    <xf numFmtId="0" fontId="25" fillId="41" borderId="104" xfId="0" applyFont="1" applyFill="1" applyBorder="1" applyProtection="1">
      <alignment vertical="center"/>
      <protection hidden="1"/>
    </xf>
    <xf numFmtId="11" fontId="23" fillId="0" borderId="0" xfId="43" applyNumberFormat="1" applyFont="1" applyProtection="1">
      <alignment vertical="center"/>
      <protection hidden="1"/>
    </xf>
    <xf numFmtId="11" fontId="23" fillId="0" borderId="0" xfId="43" applyNumberFormat="1" applyFont="1" applyAlignment="1" applyProtection="1">
      <alignment horizontal="center" vertical="center" wrapText="1"/>
      <protection hidden="1"/>
    </xf>
    <xf numFmtId="11" fontId="23" fillId="0" borderId="0" xfId="43" applyNumberFormat="1" applyFont="1" applyAlignment="1" applyProtection="1">
      <alignment horizontal="center" vertical="center"/>
      <protection hidden="1"/>
    </xf>
    <xf numFmtId="179" fontId="23" fillId="0" borderId="0" xfId="43" applyNumberFormat="1" applyFont="1" applyProtection="1">
      <alignment vertical="center"/>
      <protection hidden="1"/>
    </xf>
    <xf numFmtId="11" fontId="23" fillId="0" borderId="0" xfId="42" applyNumberFormat="1" applyFont="1" applyFill="1" applyBorder="1" applyProtection="1">
      <protection hidden="1"/>
    </xf>
    <xf numFmtId="9" fontId="23" fillId="0" borderId="0" xfId="28" applyFont="1" applyProtection="1">
      <alignment vertical="center"/>
      <protection hidden="1"/>
    </xf>
    <xf numFmtId="0" fontId="23" fillId="0" borderId="18" xfId="43" applyFont="1" applyBorder="1" applyProtection="1">
      <alignment vertical="center"/>
      <protection hidden="1"/>
    </xf>
    <xf numFmtId="11" fontId="23" fillId="0" borderId="18" xfId="43" applyNumberFormat="1" applyFont="1" applyBorder="1" applyProtection="1">
      <alignment vertical="center"/>
      <protection hidden="1"/>
    </xf>
    <xf numFmtId="178" fontId="23" fillId="0" borderId="18" xfId="43" applyNumberFormat="1" applyFont="1" applyBorder="1" applyProtection="1">
      <alignment vertical="center"/>
      <protection hidden="1"/>
    </xf>
    <xf numFmtId="10" fontId="23" fillId="0" borderId="0" xfId="28" applyNumberFormat="1" applyFont="1" applyProtection="1">
      <alignment vertical="center"/>
      <protection hidden="1"/>
    </xf>
    <xf numFmtId="11" fontId="23" fillId="0" borderId="0" xfId="43" applyNumberFormat="1" applyFont="1" applyBorder="1" applyProtection="1">
      <alignment vertical="center"/>
      <protection hidden="1"/>
    </xf>
    <xf numFmtId="0" fontId="23" fillId="0" borderId="0" xfId="43" applyFont="1" applyBorder="1" applyProtection="1">
      <alignment vertical="center"/>
      <protection hidden="1"/>
    </xf>
    <xf numFmtId="0" fontId="24" fillId="0" borderId="0" xfId="43" applyFont="1" applyProtection="1">
      <alignment vertical="center"/>
      <protection hidden="1"/>
    </xf>
    <xf numFmtId="0" fontId="23" fillId="0" borderId="0" xfId="43" applyFont="1" applyFill="1" applyAlignment="1" applyProtection="1">
      <alignment horizontal="center" vertical="center"/>
      <protection hidden="1"/>
    </xf>
    <xf numFmtId="0" fontId="23" fillId="0" borderId="18" xfId="43" applyNumberFormat="1" applyFont="1" applyBorder="1" applyProtection="1">
      <alignment vertical="center"/>
      <protection hidden="1"/>
    </xf>
    <xf numFmtId="181" fontId="23" fillId="0" borderId="18" xfId="43" applyNumberFormat="1" applyFont="1" applyBorder="1" applyProtection="1">
      <alignment vertical="center"/>
      <protection hidden="1"/>
    </xf>
    <xf numFmtId="0" fontId="25" fillId="41" borderId="80" xfId="0" applyFont="1" applyFill="1" applyBorder="1" applyProtection="1">
      <alignment vertical="center"/>
      <protection hidden="1"/>
    </xf>
    <xf numFmtId="0" fontId="23" fillId="0" borderId="0" xfId="43" applyNumberFormat="1" applyFont="1" applyProtection="1">
      <alignment vertical="center"/>
      <protection hidden="1"/>
    </xf>
    <xf numFmtId="0" fontId="23" fillId="33" borderId="18" xfId="43" applyFont="1" applyFill="1" applyBorder="1" applyAlignment="1" applyProtection="1">
      <alignment horizontal="center" vertical="center"/>
      <protection hidden="1"/>
    </xf>
    <xf numFmtId="0" fontId="23" fillId="42" borderId="18" xfId="43" applyFont="1" applyFill="1" applyBorder="1" applyAlignment="1" applyProtection="1">
      <alignment horizontal="center" vertical="center"/>
      <protection hidden="1"/>
    </xf>
    <xf numFmtId="0" fontId="23" fillId="39" borderId="18" xfId="43" applyFont="1" applyFill="1" applyBorder="1" applyAlignment="1" applyProtection="1">
      <alignment horizontal="center" vertical="center"/>
      <protection hidden="1"/>
    </xf>
    <xf numFmtId="180" fontId="23" fillId="0" borderId="18" xfId="43" applyNumberFormat="1" applyFont="1" applyBorder="1" applyProtection="1">
      <alignment vertical="center"/>
      <protection hidden="1"/>
    </xf>
    <xf numFmtId="181" fontId="23" fillId="0" borderId="0" xfId="43" applyNumberFormat="1" applyFont="1" applyBorder="1" applyProtection="1">
      <alignment vertical="center"/>
      <protection hidden="1"/>
    </xf>
    <xf numFmtId="181" fontId="23" fillId="0" borderId="0" xfId="43" applyNumberFormat="1" applyFont="1" applyProtection="1">
      <alignment vertical="center"/>
      <protection hidden="1"/>
    </xf>
    <xf numFmtId="0" fontId="23" fillId="0" borderId="18" xfId="43" applyFont="1" applyBorder="1" applyAlignment="1" applyProtection="1">
      <alignment vertical="center"/>
      <protection hidden="1"/>
    </xf>
    <xf numFmtId="178" fontId="23" fillId="0" borderId="0" xfId="43" applyNumberFormat="1" applyFont="1" applyProtection="1">
      <alignment vertical="center"/>
      <protection hidden="1"/>
    </xf>
    <xf numFmtId="0" fontId="23" fillId="40" borderId="18" xfId="43" applyNumberFormat="1" applyFont="1" applyFill="1" applyBorder="1" applyAlignment="1" applyProtection="1">
      <alignment vertical="center"/>
      <protection locked="0"/>
    </xf>
    <xf numFmtId="11" fontId="23" fillId="40" borderId="18" xfId="42" applyNumberFormat="1" applyFont="1" applyFill="1" applyBorder="1" applyAlignment="1" applyProtection="1">
      <protection locked="0"/>
    </xf>
    <xf numFmtId="11" fontId="23" fillId="40" borderId="18" xfId="43" applyNumberFormat="1" applyFont="1" applyFill="1" applyBorder="1" applyAlignment="1" applyProtection="1">
      <alignment vertical="center"/>
      <protection locked="0"/>
    </xf>
    <xf numFmtId="10" fontId="0" fillId="0" borderId="85" xfId="28" applyNumberFormat="1" applyFont="1" applyBorder="1" applyAlignment="1">
      <alignment horizontal="center" vertical="center" wrapText="1"/>
    </xf>
    <xf numFmtId="10" fontId="0" fillId="0" borderId="86" xfId="28" applyNumberFormat="1" applyFont="1" applyBorder="1" applyAlignment="1">
      <alignment horizontal="center" vertical="center" wrapText="1"/>
    </xf>
    <xf numFmtId="10" fontId="0" fillId="0" borderId="87" xfId="28" applyNumberFormat="1" applyFont="1" applyBorder="1" applyAlignment="1">
      <alignment horizontal="center" vertical="center" wrapText="1"/>
    </xf>
    <xf numFmtId="0" fontId="23" fillId="0" borderId="86" xfId="43" applyFont="1" applyBorder="1" applyAlignment="1">
      <alignment horizontal="center" vertical="center" wrapText="1"/>
    </xf>
    <xf numFmtId="0" fontId="23" fillId="0" borderId="73" xfId="43" applyFont="1" applyBorder="1" applyAlignment="1">
      <alignment horizontal="center" vertical="center" wrapText="1"/>
    </xf>
    <xf numFmtId="9" fontId="23" fillId="0" borderId="78" xfId="28" applyFont="1" applyBorder="1" applyProtection="1">
      <alignment vertical="center"/>
      <protection hidden="1"/>
    </xf>
    <xf numFmtId="9" fontId="23" fillId="0" borderId="79" xfId="28" applyFont="1" applyBorder="1" applyProtection="1">
      <alignment vertical="center"/>
      <protection hidden="1"/>
    </xf>
    <xf numFmtId="0" fontId="0" fillId="0" borderId="105" xfId="0" applyBorder="1" applyProtection="1">
      <alignment vertical="center"/>
      <protection hidden="1"/>
    </xf>
    <xf numFmtId="181" fontId="23" fillId="0" borderId="77" xfId="28" applyNumberFormat="1" applyFont="1" applyBorder="1" applyProtection="1">
      <alignment vertical="center"/>
      <protection hidden="1"/>
    </xf>
    <xf numFmtId="181" fontId="23" fillId="0" borderId="33" xfId="28" applyNumberFormat="1" applyFont="1" applyBorder="1" applyProtection="1">
      <alignment vertical="center"/>
      <protection hidden="1"/>
    </xf>
    <xf numFmtId="181" fontId="23" fillId="0" borderId="35" xfId="28" applyNumberFormat="1" applyFont="1" applyBorder="1" applyProtection="1">
      <alignment vertical="center"/>
      <protection hidden="1"/>
    </xf>
    <xf numFmtId="9" fontId="23" fillId="0" borderId="36" xfId="28" applyFont="1" applyBorder="1" applyProtection="1">
      <alignment vertical="center"/>
      <protection hidden="1"/>
    </xf>
    <xf numFmtId="9" fontId="23" fillId="0" borderId="57" xfId="28" applyFont="1" applyBorder="1" applyProtection="1">
      <alignment vertical="center"/>
      <protection hidden="1"/>
    </xf>
    <xf numFmtId="181" fontId="23" fillId="0" borderId="106" xfId="28" applyNumberFormat="1" applyFont="1" applyBorder="1" applyProtection="1">
      <alignment vertical="center"/>
      <protection hidden="1"/>
    </xf>
    <xf numFmtId="9" fontId="23" fillId="0" borderId="16" xfId="28" applyFont="1" applyBorder="1" applyProtection="1">
      <alignment vertical="center"/>
      <protection hidden="1"/>
    </xf>
    <xf numFmtId="9" fontId="23" fillId="0" borderId="37" xfId="28" applyFont="1" applyBorder="1" applyProtection="1">
      <alignment vertical="center"/>
      <protection hidden="1"/>
    </xf>
    <xf numFmtId="9" fontId="34" fillId="0" borderId="26" xfId="0" applyNumberFormat="1" applyFont="1" applyFill="1" applyBorder="1">
      <alignment vertical="center"/>
    </xf>
    <xf numFmtId="9" fontId="34" fillId="0" borderId="37" xfId="0" applyNumberFormat="1" applyFont="1" applyFill="1" applyBorder="1">
      <alignment vertical="center"/>
    </xf>
    <xf numFmtId="10" fontId="0" fillId="0" borderId="31" xfId="28" applyNumberFormat="1" applyFont="1" applyBorder="1" applyAlignment="1">
      <alignment horizontal="center" vertical="center" wrapText="1"/>
    </xf>
    <xf numFmtId="10" fontId="1" fillId="44" borderId="59" xfId="28" applyNumberFormat="1" applyFont="1" applyFill="1" applyBorder="1" applyAlignment="1">
      <alignment horizontal="center" vertical="center" wrapText="1"/>
    </xf>
    <xf numFmtId="11" fontId="0" fillId="0" borderId="51" xfId="28" applyNumberFormat="1" applyFont="1" applyBorder="1" applyAlignment="1">
      <alignment horizontal="center" vertical="center" wrapText="1"/>
    </xf>
    <xf numFmtId="11" fontId="0" fillId="0" borderId="75" xfId="28" applyNumberFormat="1" applyFont="1" applyBorder="1" applyAlignment="1">
      <alignment horizontal="center" vertical="center" wrapText="1"/>
    </xf>
    <xf numFmtId="11" fontId="0" fillId="0" borderId="13" xfId="28" applyNumberFormat="1" applyFont="1" applyBorder="1" applyAlignment="1">
      <alignment horizontal="center" vertical="center" wrapText="1"/>
    </xf>
    <xf numFmtId="11" fontId="0" fillId="0" borderId="14" xfId="28" applyNumberFormat="1" applyFont="1" applyBorder="1" applyAlignment="1">
      <alignment horizontal="center" vertical="center" wrapText="1"/>
    </xf>
    <xf numFmtId="11" fontId="1" fillId="45" borderId="106" xfId="28" applyNumberFormat="1" applyFont="1" applyFill="1" applyBorder="1" applyAlignment="1">
      <alignment horizontal="center" vertical="center" wrapText="1"/>
    </xf>
    <xf numFmtId="10" fontId="1" fillId="46" borderId="16" xfId="28" applyNumberFormat="1" applyFont="1" applyFill="1" applyBorder="1" applyAlignment="1">
      <alignment horizontal="center" vertical="center" wrapText="1"/>
    </xf>
    <xf numFmtId="10" fontId="1" fillId="47" borderId="16" xfId="28" applyNumberFormat="1" applyFont="1" applyFill="1" applyBorder="1" applyAlignment="1">
      <alignment horizontal="center" vertical="center" wrapText="1"/>
    </xf>
    <xf numFmtId="10" fontId="1" fillId="48" borderId="16" xfId="28" applyNumberFormat="1" applyFont="1" applyFill="1" applyBorder="1" applyAlignment="1">
      <alignment horizontal="center" vertical="center" wrapText="1"/>
    </xf>
    <xf numFmtId="11" fontId="1" fillId="49" borderId="106" xfId="28" applyNumberFormat="1" applyFont="1" applyFill="1" applyBorder="1" applyAlignment="1">
      <alignment horizontal="center" vertical="center" wrapText="1"/>
    </xf>
    <xf numFmtId="11" fontId="1" fillId="50" borderId="16" xfId="28" applyNumberFormat="1" applyFont="1" applyFill="1" applyBorder="1" applyAlignment="1">
      <alignment horizontal="center" vertical="center" wrapText="1"/>
    </xf>
    <xf numFmtId="11" fontId="1" fillId="51" borderId="16" xfId="28" applyNumberFormat="1" applyFont="1" applyFill="1" applyBorder="1" applyAlignment="1">
      <alignment horizontal="center" vertical="center" wrapText="1"/>
    </xf>
    <xf numFmtId="11" fontId="1" fillId="52" borderId="37" xfId="28" applyNumberFormat="1" applyFont="1" applyFill="1" applyBorder="1" applyAlignment="1">
      <alignment horizontal="center" vertical="center" wrapText="1"/>
    </xf>
    <xf numFmtId="9" fontId="34" fillId="0" borderId="66" xfId="0" applyNumberFormat="1" applyFont="1" applyFill="1" applyBorder="1">
      <alignment vertical="center"/>
    </xf>
    <xf numFmtId="0" fontId="34" fillId="45" borderId="106" xfId="0" applyFont="1" applyFill="1" applyBorder="1" applyAlignment="1">
      <alignment horizontal="center" vertical="center" wrapText="1"/>
    </xf>
    <xf numFmtId="11" fontId="34" fillId="0" borderId="69" xfId="0" applyNumberFormat="1" applyFont="1" applyBorder="1">
      <alignment vertical="center"/>
    </xf>
    <xf numFmtId="11" fontId="27" fillId="0" borderId="0" xfId="0" applyNumberFormat="1" applyFont="1">
      <alignment vertical="center"/>
    </xf>
    <xf numFmtId="0" fontId="0" fillId="0" borderId="13" xfId="0" applyFont="1" applyFill="1" applyBorder="1" applyAlignment="1">
      <alignment horizontal="center" vertical="center" wrapText="1"/>
    </xf>
    <xf numFmtId="0" fontId="34" fillId="53" borderId="37" xfId="0" applyFont="1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  <xf numFmtId="181" fontId="23" fillId="0" borderId="61" xfId="28" applyNumberFormat="1" applyFont="1" applyBorder="1" applyProtection="1">
      <alignment vertical="center"/>
      <protection hidden="1"/>
    </xf>
    <xf numFmtId="181" fontId="23" fillId="0" borderId="11" xfId="28" applyNumberFormat="1" applyFont="1" applyBorder="1" applyProtection="1">
      <alignment vertical="center"/>
      <protection hidden="1"/>
    </xf>
    <xf numFmtId="181" fontId="23" fillId="0" borderId="38" xfId="28" applyNumberFormat="1" applyFont="1" applyBorder="1" applyProtection="1">
      <alignment vertical="center"/>
      <protection hidden="1"/>
    </xf>
    <xf numFmtId="181" fontId="23" fillId="0" borderId="43" xfId="28" applyNumberFormat="1" applyFont="1" applyBorder="1" applyProtection="1">
      <alignment vertical="center"/>
      <protection hidden="1"/>
    </xf>
    <xf numFmtId="0" fontId="34" fillId="0" borderId="13" xfId="0" applyFont="1" applyFill="1" applyBorder="1" applyAlignment="1">
      <alignment horizontal="center" vertical="center" wrapText="1"/>
    </xf>
    <xf numFmtId="0" fontId="34" fillId="0" borderId="14" xfId="0" applyFont="1" applyFill="1" applyBorder="1" applyAlignment="1">
      <alignment horizontal="center" vertical="center" wrapText="1"/>
    </xf>
    <xf numFmtId="10" fontId="34" fillId="0" borderId="75" xfId="0" applyNumberFormat="1" applyFont="1" applyBorder="1" applyAlignment="1">
      <alignment horizontal="center" vertical="center" wrapText="1"/>
    </xf>
    <xf numFmtId="10" fontId="34" fillId="0" borderId="13" xfId="0" applyNumberFormat="1" applyFont="1" applyBorder="1" applyAlignment="1">
      <alignment horizontal="center" vertical="center" wrapText="1"/>
    </xf>
    <xf numFmtId="11" fontId="34" fillId="0" borderId="0" xfId="0" applyNumberFormat="1" applyFont="1" applyBorder="1">
      <alignment vertical="center"/>
    </xf>
    <xf numFmtId="181" fontId="34" fillId="0" borderId="0" xfId="0" applyNumberFormat="1" applyFont="1" applyBorder="1">
      <alignment vertical="center"/>
    </xf>
    <xf numFmtId="10" fontId="34" fillId="0" borderId="0" xfId="0" applyNumberFormat="1" applyFont="1" applyBorder="1">
      <alignment vertical="center"/>
    </xf>
    <xf numFmtId="9" fontId="34" fillId="0" borderId="42" xfId="0" applyNumberFormat="1" applyFont="1" applyFill="1" applyBorder="1">
      <alignment vertical="center"/>
    </xf>
    <xf numFmtId="0" fontId="0" fillId="54" borderId="16" xfId="0" applyFill="1" applyBorder="1">
      <alignment vertical="center"/>
    </xf>
    <xf numFmtId="10" fontId="1" fillId="54" borderId="107" xfId="28" applyNumberFormat="1" applyFont="1" applyFill="1" applyBorder="1" applyAlignment="1">
      <alignment horizontal="center" vertical="center" wrapText="1"/>
    </xf>
    <xf numFmtId="10" fontId="1" fillId="55" borderId="16" xfId="28" applyNumberFormat="1" applyFont="1" applyFill="1" applyBorder="1" applyAlignment="1">
      <alignment horizontal="center" vertical="center" wrapText="1"/>
    </xf>
    <xf numFmtId="9" fontId="0" fillId="0" borderId="0" xfId="0" applyNumberFormat="1">
      <alignment vertical="center"/>
    </xf>
    <xf numFmtId="9" fontId="0" fillId="0" borderId="18" xfId="0" applyNumberFormat="1" applyBorder="1">
      <alignment vertical="center"/>
    </xf>
    <xf numFmtId="9" fontId="0" fillId="0" borderId="26" xfId="0" applyNumberFormat="1" applyBorder="1">
      <alignment vertical="center"/>
    </xf>
    <xf numFmtId="9" fontId="0" fillId="0" borderId="36" xfId="0" applyNumberFormat="1" applyBorder="1">
      <alignment vertical="center"/>
    </xf>
    <xf numFmtId="9" fontId="0" fillId="0" borderId="34" xfId="0" applyNumberFormat="1" applyBorder="1">
      <alignment vertical="center"/>
    </xf>
    <xf numFmtId="0" fontId="0" fillId="0" borderId="61" xfId="0" applyBorder="1">
      <alignment vertical="center"/>
    </xf>
    <xf numFmtId="10" fontId="34" fillId="44" borderId="106" xfId="0" applyNumberFormat="1" applyFont="1" applyFill="1" applyBorder="1" applyAlignment="1">
      <alignment vertical="center" wrapText="1"/>
    </xf>
    <xf numFmtId="0" fontId="34" fillId="56" borderId="16" xfId="0" applyFont="1" applyFill="1" applyBorder="1" applyAlignment="1">
      <alignment vertical="center" wrapText="1"/>
    </xf>
    <xf numFmtId="0" fontId="34" fillId="52" borderId="16" xfId="0" applyFont="1" applyFill="1" applyBorder="1" applyAlignment="1">
      <alignment vertical="center" wrapText="1"/>
    </xf>
    <xf numFmtId="0" fontId="34" fillId="52" borderId="37" xfId="0" applyFont="1" applyFill="1" applyBorder="1" applyAlignment="1">
      <alignment vertical="center" wrapText="1"/>
    </xf>
    <xf numFmtId="9" fontId="0" fillId="0" borderId="64" xfId="0" applyNumberFormat="1" applyBorder="1">
      <alignment vertical="center"/>
    </xf>
    <xf numFmtId="9" fontId="0" fillId="0" borderId="65" xfId="0" applyNumberFormat="1" applyBorder="1">
      <alignment vertical="center"/>
    </xf>
    <xf numFmtId="0" fontId="0" fillId="49" borderId="106" xfId="0" applyFill="1" applyBorder="1">
      <alignment vertical="center"/>
    </xf>
    <xf numFmtId="0" fontId="0" fillId="51" borderId="16" xfId="0" applyFill="1" applyBorder="1">
      <alignment vertical="center"/>
    </xf>
    <xf numFmtId="0" fontId="0" fillId="57" borderId="16" xfId="0" applyFill="1" applyBorder="1">
      <alignment vertical="center"/>
    </xf>
    <xf numFmtId="0" fontId="0" fillId="0" borderId="8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9" fontId="23" fillId="0" borderId="36" xfId="28" applyFont="1" applyBorder="1" applyAlignment="1" applyProtection="1">
      <alignment horizontal="center" vertical="center"/>
      <protection hidden="1"/>
    </xf>
    <xf numFmtId="9" fontId="23" fillId="0" borderId="57" xfId="28" applyFont="1" applyBorder="1" applyAlignment="1" applyProtection="1">
      <alignment horizontal="center" vertical="center"/>
      <protection hidden="1"/>
    </xf>
    <xf numFmtId="9" fontId="23" fillId="0" borderId="16" xfId="28" applyFont="1" applyBorder="1" applyAlignment="1" applyProtection="1">
      <alignment horizontal="center" vertical="center"/>
      <protection hidden="1"/>
    </xf>
    <xf numFmtId="9" fontId="23" fillId="0" borderId="37" xfId="28" applyFont="1" applyBorder="1" applyAlignment="1" applyProtection="1">
      <alignment horizontal="center" vertical="center"/>
      <protection hidden="1"/>
    </xf>
    <xf numFmtId="0" fontId="23" fillId="43" borderId="18" xfId="43" applyFont="1" applyFill="1" applyBorder="1" applyAlignment="1">
      <alignment horizontal="center" vertical="center"/>
    </xf>
    <xf numFmtId="0" fontId="23" fillId="0" borderId="18" xfId="43" applyFont="1" applyFill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49" fontId="23" fillId="0" borderId="86" xfId="43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81" fontId="34" fillId="0" borderId="18" xfId="0" applyNumberFormat="1" applyFont="1" applyFill="1" applyBorder="1">
      <alignment vertical="center"/>
    </xf>
    <xf numFmtId="181" fontId="34" fillId="0" borderId="16" xfId="0" applyNumberFormat="1" applyFont="1" applyFill="1" applyBorder="1">
      <alignment vertical="center"/>
    </xf>
    <xf numFmtId="0" fontId="34" fillId="46" borderId="108" xfId="0" applyFont="1" applyFill="1" applyBorder="1" applyAlignment="1">
      <alignment horizontal="center" vertical="center" wrapText="1"/>
    </xf>
    <xf numFmtId="0" fontId="34" fillId="0" borderId="74" xfId="0" applyFont="1" applyBorder="1" applyAlignment="1">
      <alignment horizontal="center" vertical="center"/>
    </xf>
    <xf numFmtId="10" fontId="0" fillId="0" borderId="109" xfId="28" applyNumberFormat="1" applyFont="1" applyBorder="1" applyAlignment="1">
      <alignment horizontal="center" vertical="center" wrapText="1"/>
    </xf>
    <xf numFmtId="177" fontId="26" fillId="0" borderId="14" xfId="0" applyNumberFormat="1" applyFont="1" applyFill="1" applyBorder="1" applyProtection="1">
      <alignment vertical="center"/>
      <protection hidden="1"/>
    </xf>
    <xf numFmtId="181" fontId="34" fillId="0" borderId="65" xfId="0" applyNumberFormat="1" applyFont="1" applyFill="1" applyBorder="1">
      <alignment vertical="center"/>
    </xf>
    <xf numFmtId="11" fontId="34" fillId="0" borderId="69" xfId="0" applyNumberFormat="1" applyFont="1" applyBorder="1" applyAlignment="1">
      <alignment vertical="center"/>
    </xf>
    <xf numFmtId="11" fontId="34" fillId="0" borderId="110" xfId="0" applyNumberFormat="1" applyFont="1" applyBorder="1">
      <alignment vertical="center"/>
    </xf>
    <xf numFmtId="11" fontId="34" fillId="0" borderId="111" xfId="0" applyNumberFormat="1" applyFont="1" applyBorder="1">
      <alignment vertical="center"/>
    </xf>
    <xf numFmtId="9" fontId="23" fillId="0" borderId="98" xfId="28" applyFont="1" applyBorder="1" applyProtection="1">
      <alignment vertical="center"/>
      <protection hidden="1"/>
    </xf>
    <xf numFmtId="9" fontId="23" fillId="0" borderId="96" xfId="28" applyFont="1" applyBorder="1" applyProtection="1">
      <alignment vertical="center"/>
      <protection hidden="1"/>
    </xf>
    <xf numFmtId="9" fontId="23" fillId="0" borderId="99" xfId="28" applyFont="1" applyBorder="1" applyProtection="1">
      <alignment vertical="center"/>
      <protection hidden="1"/>
    </xf>
    <xf numFmtId="9" fontId="23" fillId="0" borderId="95" xfId="28" applyFont="1" applyBorder="1" applyProtection="1">
      <alignment vertical="center"/>
      <protection hidden="1"/>
    </xf>
    <xf numFmtId="9" fontId="23" fillId="0" borderId="97" xfId="28" applyFont="1" applyBorder="1" applyProtection="1">
      <alignment vertical="center"/>
      <protection hidden="1"/>
    </xf>
    <xf numFmtId="9" fontId="23" fillId="0" borderId="39" xfId="28" applyFont="1" applyBorder="1" applyProtection="1">
      <alignment vertical="center"/>
      <protection hidden="1"/>
    </xf>
    <xf numFmtId="9" fontId="23" fillId="0" borderId="40" xfId="28" applyFont="1" applyBorder="1" applyProtection="1">
      <alignment vertical="center"/>
      <protection hidden="1"/>
    </xf>
    <xf numFmtId="9" fontId="23" fillId="0" borderId="41" xfId="28" applyFont="1" applyBorder="1" applyProtection="1">
      <alignment vertical="center"/>
      <protection hidden="1"/>
    </xf>
    <xf numFmtId="9" fontId="23" fillId="0" borderId="42" xfId="28" applyFont="1" applyBorder="1" applyProtection="1">
      <alignment vertical="center"/>
      <protection hidden="1"/>
    </xf>
    <xf numFmtId="11" fontId="34" fillId="0" borderId="112" xfId="28" applyNumberFormat="1" applyFont="1" applyBorder="1">
      <alignment vertical="center"/>
    </xf>
    <xf numFmtId="0" fontId="34" fillId="58" borderId="16" xfId="0" applyFont="1" applyFill="1" applyBorder="1" applyAlignment="1">
      <alignment vertical="center" wrapText="1"/>
    </xf>
    <xf numFmtId="0" fontId="34" fillId="59" borderId="37" xfId="0" applyFont="1" applyFill="1" applyBorder="1" applyAlignment="1">
      <alignment vertical="center" wrapText="1"/>
    </xf>
    <xf numFmtId="10" fontId="1" fillId="59" borderId="58" xfId="28" applyNumberFormat="1" applyFont="1" applyFill="1" applyBorder="1" applyAlignment="1">
      <alignment horizontal="center" vertical="center" wrapText="1"/>
    </xf>
    <xf numFmtId="10" fontId="1" fillId="60" borderId="108" xfId="28" applyNumberFormat="1" applyFont="1" applyFill="1" applyBorder="1" applyAlignment="1">
      <alignment horizontal="center" vertical="center" wrapText="1"/>
    </xf>
    <xf numFmtId="0" fontId="0" fillId="0" borderId="0" xfId="0" applyFill="1">
      <alignment vertical="center"/>
    </xf>
    <xf numFmtId="0" fontId="23" fillId="0" borderId="113" xfId="0" applyNumberFormat="1" applyFont="1" applyBorder="1">
      <alignment vertical="center"/>
    </xf>
    <xf numFmtId="11" fontId="23" fillId="0" borderId="65" xfId="0" applyNumberFormat="1" applyFont="1" applyBorder="1">
      <alignment vertical="center"/>
    </xf>
    <xf numFmtId="11" fontId="23" fillId="0" borderId="66" xfId="0" applyNumberFormat="1" applyFont="1" applyBorder="1">
      <alignment vertical="center"/>
    </xf>
    <xf numFmtId="0" fontId="23" fillId="0" borderId="30" xfId="0" applyNumberFormat="1" applyFont="1" applyBorder="1">
      <alignment vertical="center"/>
    </xf>
    <xf numFmtId="10" fontId="23" fillId="0" borderId="65" xfId="0" applyNumberFormat="1" applyFont="1" applyBorder="1">
      <alignment vertical="center"/>
    </xf>
    <xf numFmtId="10" fontId="23" fillId="0" borderId="26" xfId="0" applyNumberFormat="1" applyFont="1" applyBorder="1">
      <alignment vertical="center"/>
    </xf>
    <xf numFmtId="0" fontId="23" fillId="0" borderId="113" xfId="0" applyFont="1" applyBorder="1">
      <alignment vertical="center"/>
    </xf>
    <xf numFmtId="0" fontId="0" fillId="0" borderId="69" xfId="0" applyBorder="1">
      <alignment vertical="center"/>
    </xf>
    <xf numFmtId="178" fontId="34" fillId="0" borderId="78" xfId="0" applyNumberFormat="1" applyFont="1" applyBorder="1">
      <alignment vertical="center"/>
    </xf>
    <xf numFmtId="11" fontId="34" fillId="0" borderId="79" xfId="0" applyNumberFormat="1" applyFont="1" applyBorder="1">
      <alignment vertical="center"/>
    </xf>
    <xf numFmtId="178" fontId="34" fillId="0" borderId="16" xfId="0" applyNumberFormat="1" applyFont="1" applyBorder="1">
      <alignment vertical="center"/>
    </xf>
    <xf numFmtId="181" fontId="34" fillId="0" borderId="106" xfId="0" applyNumberFormat="1" applyFont="1" applyBorder="1">
      <alignment vertical="center"/>
    </xf>
    <xf numFmtId="181" fontId="34" fillId="0" borderId="78" xfId="0" applyNumberFormat="1" applyFont="1" applyFill="1" applyBorder="1">
      <alignment vertical="center"/>
    </xf>
    <xf numFmtId="11" fontId="34" fillId="0" borderId="78" xfId="0" applyNumberFormat="1" applyFont="1" applyBorder="1">
      <alignment vertical="center"/>
    </xf>
    <xf numFmtId="0" fontId="0" fillId="0" borderId="70" xfId="0" applyBorder="1">
      <alignment vertical="center"/>
    </xf>
    <xf numFmtId="0" fontId="0" fillId="61" borderId="16" xfId="0" applyFill="1" applyBorder="1">
      <alignment vertical="center"/>
    </xf>
    <xf numFmtId="9" fontId="0" fillId="0" borderId="22" xfId="0" applyNumberFormat="1" applyBorder="1">
      <alignment vertical="center"/>
    </xf>
    <xf numFmtId="9" fontId="0" fillId="0" borderId="25" xfId="0" applyNumberFormat="1" applyBorder="1">
      <alignment vertical="center"/>
    </xf>
    <xf numFmtId="0" fontId="0" fillId="61" borderId="114" xfId="0" applyFill="1" applyBorder="1">
      <alignment vertical="center"/>
    </xf>
    <xf numFmtId="0" fontId="5" fillId="0" borderId="0" xfId="0" applyFont="1" applyFill="1">
      <alignment vertical="center"/>
    </xf>
    <xf numFmtId="0" fontId="6" fillId="0" borderId="80" xfId="0" applyFont="1" applyFill="1" applyBorder="1" applyAlignment="1">
      <alignment vertical="center" wrapText="1"/>
    </xf>
    <xf numFmtId="0" fontId="6" fillId="0" borderId="115" xfId="0" applyFont="1" applyFill="1" applyBorder="1" applyAlignment="1">
      <alignment vertical="center" wrapText="1"/>
    </xf>
    <xf numFmtId="178" fontId="31" fillId="0" borderId="115" xfId="0" applyNumberFormat="1" applyFont="1" applyFill="1" applyBorder="1">
      <alignment vertical="center"/>
    </xf>
    <xf numFmtId="178" fontId="31" fillId="0" borderId="11" xfId="0" applyNumberFormat="1" applyFont="1" applyFill="1" applyBorder="1">
      <alignment vertical="center"/>
    </xf>
    <xf numFmtId="178" fontId="31" fillId="0" borderId="104" xfId="0" applyNumberFormat="1" applyFont="1" applyFill="1" applyBorder="1">
      <alignment vertical="center"/>
    </xf>
    <xf numFmtId="178" fontId="31" fillId="0" borderId="43" xfId="0" applyNumberFormat="1" applyFont="1" applyFill="1" applyBorder="1">
      <alignment vertical="center"/>
    </xf>
    <xf numFmtId="178" fontId="31" fillId="0" borderId="0" xfId="0" applyNumberFormat="1" applyFont="1" applyFill="1" applyBorder="1">
      <alignment vertical="center"/>
    </xf>
    <xf numFmtId="0" fontId="0" fillId="0" borderId="80" xfId="0" applyFill="1" applyBorder="1" applyAlignment="1">
      <alignment vertical="center"/>
    </xf>
    <xf numFmtId="0" fontId="0" fillId="0" borderId="115" xfId="0" applyFill="1" applyBorder="1" applyAlignment="1">
      <alignment vertical="center"/>
    </xf>
    <xf numFmtId="0" fontId="0" fillId="0" borderId="115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43" xfId="0" applyFill="1" applyBorder="1">
      <alignment vertical="center"/>
    </xf>
    <xf numFmtId="0" fontId="0" fillId="0" borderId="80" xfId="0" applyFill="1" applyBorder="1">
      <alignment vertical="center"/>
    </xf>
    <xf numFmtId="0" fontId="0" fillId="0" borderId="104" xfId="0" applyFill="1" applyBorder="1" applyAlignment="1"/>
    <xf numFmtId="0" fontId="0" fillId="0" borderId="0" xfId="0" applyFill="1" applyBorder="1" applyAlignment="1"/>
    <xf numFmtId="0" fontId="0" fillId="0" borderId="10" xfId="0" applyFill="1" applyBorder="1">
      <alignment vertical="center"/>
    </xf>
    <xf numFmtId="0" fontId="0" fillId="0" borderId="93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102" xfId="0" applyFill="1" applyBorder="1">
      <alignment vertical="center"/>
    </xf>
    <xf numFmtId="9" fontId="0" fillId="0" borderId="62" xfId="0" applyNumberFormat="1" applyBorder="1">
      <alignment vertical="center"/>
    </xf>
    <xf numFmtId="9" fontId="0" fillId="0" borderId="33" xfId="0" applyNumberFormat="1" applyBorder="1">
      <alignment vertical="center"/>
    </xf>
    <xf numFmtId="9" fontId="0" fillId="0" borderId="63" xfId="0" applyNumberFormat="1" applyBorder="1">
      <alignment vertical="center"/>
    </xf>
    <xf numFmtId="0" fontId="0" fillId="0" borderId="79" xfId="0" applyBorder="1" applyAlignment="1">
      <alignment horizontal="center" vertical="center"/>
    </xf>
    <xf numFmtId="0" fontId="0" fillId="62" borderId="16" xfId="0" applyFill="1" applyBorder="1">
      <alignment vertical="center"/>
    </xf>
    <xf numFmtId="0" fontId="0" fillId="63" borderId="16" xfId="0" applyFill="1" applyBorder="1">
      <alignment vertical="center"/>
    </xf>
    <xf numFmtId="0" fontId="0" fillId="52" borderId="16" xfId="0" applyFill="1" applyBorder="1">
      <alignment vertical="center"/>
    </xf>
    <xf numFmtId="0" fontId="0" fillId="64" borderId="16" xfId="0" applyFill="1" applyBorder="1">
      <alignment vertical="center"/>
    </xf>
    <xf numFmtId="0" fontId="0" fillId="48" borderId="16" xfId="0" applyFill="1" applyBorder="1">
      <alignment vertical="center"/>
    </xf>
    <xf numFmtId="0" fontId="0" fillId="65" borderId="37" xfId="0" applyFill="1" applyBorder="1" applyAlignment="1">
      <alignment vertical="center"/>
    </xf>
    <xf numFmtId="9" fontId="0" fillId="0" borderId="21" xfId="0" applyNumberFormat="1" applyBorder="1">
      <alignment vertical="center"/>
    </xf>
    <xf numFmtId="9" fontId="0" fillId="0" borderId="22" xfId="0" applyNumberFormat="1" applyBorder="1" applyAlignment="1">
      <alignment vertical="center"/>
    </xf>
    <xf numFmtId="9" fontId="0" fillId="0" borderId="26" xfId="0" applyNumberFormat="1" applyBorder="1" applyAlignment="1">
      <alignment vertical="center"/>
    </xf>
    <xf numFmtId="9" fontId="0" fillId="0" borderId="19" xfId="0" applyNumberFormat="1" applyBorder="1">
      <alignment vertical="center"/>
    </xf>
    <xf numFmtId="9" fontId="0" fillId="0" borderId="25" xfId="0" applyNumberFormat="1" applyBorder="1" applyAlignment="1">
      <alignment vertical="center"/>
    </xf>
    <xf numFmtId="9" fontId="0" fillId="0" borderId="67" xfId="0" applyNumberFormat="1" applyBorder="1">
      <alignment vertical="center"/>
    </xf>
    <xf numFmtId="0" fontId="26" fillId="0" borderId="0" xfId="0" applyFont="1">
      <alignment vertical="center"/>
    </xf>
    <xf numFmtId="0" fontId="35" fillId="0" borderId="0" xfId="0" applyFont="1" applyAlignment="1">
      <alignment vertical="center"/>
    </xf>
    <xf numFmtId="0" fontId="0" fillId="0" borderId="71" xfId="0" applyBorder="1">
      <alignment vertical="center"/>
    </xf>
    <xf numFmtId="0" fontId="0" fillId="0" borderId="116" xfId="0" applyBorder="1">
      <alignment vertical="center"/>
    </xf>
    <xf numFmtId="0" fontId="23" fillId="0" borderId="69" xfId="0" applyFont="1" applyBorder="1">
      <alignment vertical="center"/>
    </xf>
    <xf numFmtId="11" fontId="23" fillId="0" borderId="24" xfId="0" applyNumberFormat="1" applyFont="1" applyBorder="1" applyAlignment="1">
      <alignment horizontal="right" vertical="center"/>
    </xf>
    <xf numFmtId="0" fontId="23" fillId="0" borderId="70" xfId="0" applyFont="1" applyBorder="1">
      <alignment vertical="center"/>
    </xf>
    <xf numFmtId="0" fontId="0" fillId="50" borderId="0" xfId="0" applyFill="1" applyProtection="1">
      <alignment vertical="center"/>
      <protection locked="0"/>
    </xf>
    <xf numFmtId="11" fontId="23" fillId="0" borderId="70" xfId="0" applyNumberFormat="1" applyFont="1" applyBorder="1" applyAlignment="1">
      <alignment horizontal="right" vertical="center"/>
    </xf>
    <xf numFmtId="0" fontId="26" fillId="0" borderId="0" xfId="0" applyFont="1" applyAlignment="1">
      <alignment vertical="center"/>
    </xf>
    <xf numFmtId="0" fontId="0" fillId="66" borderId="72" xfId="0" applyFill="1" applyBorder="1" applyAlignment="1">
      <alignment horizontal="center" vertical="center"/>
    </xf>
    <xf numFmtId="0" fontId="0" fillId="66" borderId="86" xfId="0" applyFill="1" applyBorder="1" applyAlignment="1">
      <alignment horizontal="center" vertical="center"/>
    </xf>
    <xf numFmtId="0" fontId="0" fillId="66" borderId="73" xfId="0" applyFill="1" applyBorder="1">
      <alignment vertical="center"/>
    </xf>
    <xf numFmtId="0" fontId="0" fillId="66" borderId="30" xfId="0" applyFill="1" applyBorder="1" applyAlignment="1">
      <alignment horizontal="center" vertical="center"/>
    </xf>
    <xf numFmtId="0" fontId="0" fillId="66" borderId="65" xfId="0" applyFill="1" applyBorder="1" applyAlignment="1">
      <alignment horizontal="center" vertical="center"/>
    </xf>
    <xf numFmtId="0" fontId="0" fillId="66" borderId="66" xfId="0" applyFill="1" applyBorder="1">
      <alignment vertical="center"/>
    </xf>
    <xf numFmtId="0" fontId="0" fillId="66" borderId="33" xfId="0" applyFill="1" applyBorder="1" applyAlignment="1">
      <alignment horizontal="center" vertical="center"/>
    </xf>
    <xf numFmtId="0" fontId="0" fillId="66" borderId="18" xfId="0" applyFill="1" applyBorder="1" applyAlignment="1">
      <alignment horizontal="center" vertical="center"/>
    </xf>
    <xf numFmtId="0" fontId="0" fillId="66" borderId="26" xfId="0" applyFill="1" applyBorder="1" applyAlignment="1">
      <alignment vertical="center" wrapText="1"/>
    </xf>
    <xf numFmtId="0" fontId="0" fillId="66" borderId="26" xfId="0" applyFill="1" applyBorder="1">
      <alignment vertical="center"/>
    </xf>
    <xf numFmtId="0" fontId="0" fillId="66" borderId="63" xfId="0" applyFill="1" applyBorder="1" applyAlignment="1">
      <alignment horizontal="center" vertical="center"/>
    </xf>
    <xf numFmtId="0" fontId="0" fillId="66" borderId="19" xfId="0" applyFill="1" applyBorder="1" applyAlignment="1">
      <alignment horizontal="center" vertical="center"/>
    </xf>
    <xf numFmtId="0" fontId="0" fillId="66" borderId="25" xfId="0" applyFill="1" applyBorder="1">
      <alignment vertical="center"/>
    </xf>
    <xf numFmtId="0" fontId="0" fillId="0" borderId="13" xfId="0" applyFont="1" applyBorder="1" applyAlignment="1">
      <alignment horizontal="center" vertical="center" wrapText="1"/>
    </xf>
    <xf numFmtId="0" fontId="23" fillId="0" borderId="18" xfId="43" applyNumberFormat="1" applyFont="1" applyFill="1" applyBorder="1" applyAlignment="1" applyProtection="1">
      <alignment vertical="center"/>
      <protection locked="0"/>
    </xf>
    <xf numFmtId="11" fontId="23" fillId="0" borderId="18" xfId="43" applyNumberFormat="1" applyFont="1" applyFill="1" applyBorder="1" applyAlignment="1" applyProtection="1">
      <alignment vertical="center"/>
      <protection locked="0"/>
    </xf>
    <xf numFmtId="0" fontId="23" fillId="0" borderId="96" xfId="43" applyNumberFormat="1" applyFont="1" applyFill="1" applyBorder="1" applyAlignment="1" applyProtection="1">
      <alignment vertical="center"/>
      <protection locked="0"/>
    </xf>
    <xf numFmtId="11" fontId="23" fillId="0" borderId="96" xfId="43" applyNumberFormat="1" applyFont="1" applyFill="1" applyBorder="1" applyAlignment="1" applyProtection="1">
      <alignment vertical="center"/>
      <protection locked="0"/>
    </xf>
    <xf numFmtId="11" fontId="23" fillId="66" borderId="18" xfId="43" applyNumberFormat="1" applyFont="1" applyFill="1" applyBorder="1" applyAlignment="1" applyProtection="1">
      <alignment vertical="center"/>
      <protection locked="0"/>
    </xf>
    <xf numFmtId="0" fontId="0" fillId="0" borderId="82" xfId="0" applyBorder="1" applyAlignment="1">
      <alignment horizontal="center" vertical="center" wrapText="1"/>
    </xf>
    <xf numFmtId="0" fontId="37" fillId="0" borderId="13" xfId="0" applyFont="1" applyBorder="1" applyAlignment="1">
      <alignment horizontal="center" vertical="center" wrapText="1"/>
    </xf>
    <xf numFmtId="0" fontId="0" fillId="0" borderId="79" xfId="0" applyFont="1" applyBorder="1" applyAlignment="1">
      <alignment horizontal="center" vertical="center" wrapText="1"/>
    </xf>
    <xf numFmtId="0" fontId="23" fillId="0" borderId="0" xfId="0" applyFont="1" applyAlignment="1" applyProtection="1">
      <alignment horizontal="center" vertical="center"/>
      <protection hidden="1"/>
    </xf>
    <xf numFmtId="181" fontId="0" fillId="0" borderId="80" xfId="0" applyNumberFormat="1" applyBorder="1">
      <alignment vertical="center"/>
    </xf>
    <xf numFmtId="9" fontId="0" fillId="0" borderId="53" xfId="0" applyNumberFormat="1" applyBorder="1">
      <alignment vertical="center"/>
    </xf>
    <xf numFmtId="9" fontId="0" fillId="0" borderId="123" xfId="0" applyNumberFormat="1" applyBorder="1">
      <alignment vertical="center"/>
    </xf>
    <xf numFmtId="9" fontId="23" fillId="0" borderId="0" xfId="0" applyNumberFormat="1" applyFont="1" applyProtection="1">
      <alignment vertical="center"/>
      <protection hidden="1"/>
    </xf>
    <xf numFmtId="0" fontId="0" fillId="0" borderId="16" xfId="0" applyBorder="1" applyAlignment="1">
      <alignment horizontal="center" vertical="center"/>
    </xf>
    <xf numFmtId="184" fontId="0" fillId="0" borderId="30" xfId="0" applyNumberFormat="1" applyFill="1" applyBorder="1" applyAlignment="1">
      <alignment horizontal="right" vertical="center"/>
    </xf>
    <xf numFmtId="0" fontId="0" fillId="50" borderId="21" xfId="0" applyFill="1" applyBorder="1">
      <alignment vertical="center"/>
    </xf>
    <xf numFmtId="2" fontId="0" fillId="0" borderId="65" xfId="0" applyNumberFormat="1" applyFill="1" applyBorder="1">
      <alignment vertical="center"/>
    </xf>
    <xf numFmtId="184" fontId="0" fillId="50" borderId="30" xfId="0" applyNumberFormat="1" applyFill="1" applyBorder="1">
      <alignment vertical="center"/>
    </xf>
    <xf numFmtId="0" fontId="0" fillId="50" borderId="65" xfId="0" applyFill="1" applyBorder="1">
      <alignment vertical="center"/>
    </xf>
    <xf numFmtId="184" fontId="0" fillId="50" borderId="63" xfId="0" applyNumberFormat="1" applyFill="1" applyBorder="1">
      <alignment vertical="center"/>
    </xf>
    <xf numFmtId="0" fontId="0" fillId="50" borderId="19" xfId="0" applyFill="1" applyBorder="1">
      <alignment vertical="center"/>
    </xf>
    <xf numFmtId="2" fontId="0" fillId="0" borderId="19" xfId="0" applyNumberFormat="1" applyFill="1" applyBorder="1">
      <alignment vertical="center"/>
    </xf>
    <xf numFmtId="0" fontId="0" fillId="0" borderId="18" xfId="0" applyBorder="1">
      <alignment vertical="center"/>
    </xf>
    <xf numFmtId="185" fontId="0" fillId="0" borderId="18" xfId="0" applyNumberFormat="1" applyBorder="1">
      <alignment vertical="center"/>
    </xf>
    <xf numFmtId="185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0" fillId="0" borderId="12" xfId="0" applyBorder="1" applyProtection="1">
      <alignment vertical="center"/>
      <protection hidden="1"/>
    </xf>
    <xf numFmtId="0" fontId="0" fillId="0" borderId="28" xfId="0" applyBorder="1" applyAlignment="1" applyProtection="1">
      <alignment horizontal="right" vertical="center"/>
      <protection hidden="1"/>
    </xf>
    <xf numFmtId="9" fontId="0" fillId="0" borderId="73" xfId="0" applyNumberFormat="1" applyBorder="1" applyAlignment="1" applyProtection="1">
      <alignment horizontal="center" vertical="center"/>
      <protection hidden="1"/>
    </xf>
    <xf numFmtId="0" fontId="23" fillId="0" borderId="28" xfId="43" applyFont="1" applyBorder="1" applyAlignment="1">
      <alignment horizontal="center" vertical="center"/>
    </xf>
    <xf numFmtId="0" fontId="23" fillId="0" borderId="72" xfId="43" applyFont="1" applyBorder="1" applyAlignment="1" applyProtection="1">
      <alignment horizontal="center" vertical="center" wrapText="1"/>
      <protection hidden="1"/>
    </xf>
    <xf numFmtId="0" fontId="23" fillId="0" borderId="73" xfId="43" applyFont="1" applyBorder="1" applyAlignment="1" applyProtection="1">
      <alignment horizontal="center" vertical="center" wrapText="1"/>
      <protection hidden="1"/>
    </xf>
    <xf numFmtId="0" fontId="23" fillId="0" borderId="86" xfId="43" applyFont="1" applyBorder="1" applyAlignment="1" applyProtection="1">
      <alignment horizontal="center" vertical="center" wrapText="1"/>
      <protection hidden="1"/>
    </xf>
    <xf numFmtId="184" fontId="23" fillId="0" borderId="113" xfId="28" applyNumberFormat="1" applyFont="1" applyBorder="1" applyAlignment="1" applyProtection="1">
      <alignment horizontal="center" vertical="center"/>
      <protection hidden="1"/>
    </xf>
    <xf numFmtId="2" fontId="23" fillId="0" borderId="30" xfId="43" applyNumberFormat="1" applyFont="1" applyBorder="1" applyAlignment="1" applyProtection="1">
      <alignment horizontal="center" vertical="center"/>
      <protection hidden="1"/>
    </xf>
    <xf numFmtId="2" fontId="23" fillId="0" borderId="66" xfId="43" applyNumberFormat="1" applyFont="1" applyBorder="1" applyAlignment="1" applyProtection="1">
      <alignment horizontal="center" vertical="center"/>
      <protection hidden="1"/>
    </xf>
    <xf numFmtId="2" fontId="23" fillId="0" borderId="65" xfId="43" applyNumberFormat="1" applyFont="1" applyBorder="1" applyAlignment="1" applyProtection="1">
      <alignment horizontal="center" vertical="center"/>
      <protection hidden="1"/>
    </xf>
    <xf numFmtId="184" fontId="23" fillId="0" borderId="23" xfId="28" applyNumberFormat="1" applyFont="1" applyBorder="1" applyAlignment="1" applyProtection="1">
      <alignment horizontal="center" vertical="center"/>
      <protection hidden="1"/>
    </xf>
    <xf numFmtId="2" fontId="23" fillId="0" borderId="33" xfId="43" applyNumberFormat="1" applyFont="1" applyBorder="1" applyAlignment="1" applyProtection="1">
      <alignment horizontal="center" vertical="center"/>
      <protection hidden="1"/>
    </xf>
    <xf numFmtId="2" fontId="23" fillId="0" borderId="26" xfId="43" applyNumberFormat="1" applyFont="1" applyBorder="1" applyAlignment="1" applyProtection="1">
      <alignment horizontal="center" vertical="center"/>
      <protection hidden="1"/>
    </xf>
    <xf numFmtId="2" fontId="23" fillId="0" borderId="18" xfId="43" applyNumberFormat="1" applyFont="1" applyBorder="1" applyAlignment="1" applyProtection="1">
      <alignment horizontal="center" vertical="center"/>
      <protection hidden="1"/>
    </xf>
    <xf numFmtId="2" fontId="23" fillId="0" borderId="106" xfId="43" applyNumberFormat="1" applyFont="1" applyBorder="1" applyAlignment="1" applyProtection="1">
      <alignment horizontal="center" vertical="center"/>
      <protection hidden="1"/>
    </xf>
    <xf numFmtId="2" fontId="23" fillId="0" borderId="37" xfId="43" applyNumberFormat="1" applyFont="1" applyBorder="1" applyAlignment="1" applyProtection="1">
      <alignment horizontal="center" vertical="center"/>
      <protection hidden="1"/>
    </xf>
    <xf numFmtId="2" fontId="23" fillId="0" borderId="16" xfId="43" applyNumberFormat="1" applyFont="1" applyBorder="1" applyAlignment="1" applyProtection="1">
      <alignment horizontal="center" vertical="center"/>
      <protection hidden="1"/>
    </xf>
    <xf numFmtId="184" fontId="23" fillId="0" borderId="56" xfId="28" applyNumberFormat="1" applyFont="1" applyBorder="1" applyAlignment="1" applyProtection="1">
      <alignment horizontal="center" vertical="center"/>
      <protection hidden="1"/>
    </xf>
    <xf numFmtId="2" fontId="23" fillId="0" borderId="35" xfId="43" applyNumberFormat="1" applyFont="1" applyBorder="1" applyAlignment="1" applyProtection="1">
      <alignment horizontal="center" vertical="center"/>
      <protection hidden="1"/>
    </xf>
    <xf numFmtId="2" fontId="23" fillId="0" borderId="57" xfId="43" applyNumberFormat="1" applyFont="1" applyBorder="1" applyAlignment="1" applyProtection="1">
      <alignment horizontal="center" vertical="center"/>
      <protection hidden="1"/>
    </xf>
    <xf numFmtId="2" fontId="23" fillId="0" borderId="36" xfId="43" applyNumberFormat="1" applyFont="1" applyBorder="1" applyAlignment="1" applyProtection="1">
      <alignment horizontal="center" vertical="center"/>
      <protection hidden="1"/>
    </xf>
    <xf numFmtId="184" fontId="23" fillId="0" borderId="38" xfId="28" applyNumberFormat="1" applyFont="1" applyBorder="1" applyAlignment="1" applyProtection="1">
      <alignment horizontal="center" vertical="center"/>
      <protection hidden="1"/>
    </xf>
    <xf numFmtId="0" fontId="0" fillId="0" borderId="74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34" fillId="0" borderId="117" xfId="0" applyFont="1" applyBorder="1" applyAlignment="1">
      <alignment horizontal="center" vertical="center" wrapText="1"/>
    </xf>
    <xf numFmtId="0" fontId="34" fillId="0" borderId="90" xfId="0" applyFont="1" applyBorder="1" applyAlignment="1">
      <alignment horizontal="center" vertical="center" wrapText="1"/>
    </xf>
    <xf numFmtId="0" fontId="0" fillId="38" borderId="118" xfId="0" applyFill="1" applyBorder="1" applyAlignment="1">
      <alignment horizontal="center" vertical="center"/>
    </xf>
    <xf numFmtId="0" fontId="0" fillId="38" borderId="119" xfId="0" applyFill="1" applyBorder="1" applyAlignment="1">
      <alignment horizontal="center" vertical="center"/>
    </xf>
    <xf numFmtId="10" fontId="34" fillId="0" borderId="56" xfId="0" applyNumberFormat="1" applyFont="1" applyBorder="1" applyAlignment="1">
      <alignment horizontal="center" vertical="center"/>
    </xf>
    <xf numFmtId="10" fontId="34" fillId="0" borderId="105" xfId="0" applyNumberFormat="1" applyFont="1" applyBorder="1" applyAlignment="1">
      <alignment horizontal="center" vertical="center"/>
    </xf>
    <xf numFmtId="0" fontId="0" fillId="0" borderId="89" xfId="0" applyFont="1" applyBorder="1" applyAlignment="1">
      <alignment horizontal="center" vertical="center" wrapText="1"/>
    </xf>
    <xf numFmtId="0" fontId="0" fillId="0" borderId="90" xfId="0" applyFont="1" applyBorder="1" applyAlignment="1">
      <alignment horizontal="center" vertical="center" wrapText="1"/>
    </xf>
    <xf numFmtId="0" fontId="0" fillId="37" borderId="108" xfId="0" applyFill="1" applyBorder="1" applyAlignment="1">
      <alignment horizontal="center" vertical="center"/>
    </xf>
    <xf numFmtId="0" fontId="0" fillId="37" borderId="119" xfId="0" applyFill="1" applyBorder="1" applyAlignment="1">
      <alignment horizontal="center" vertical="center"/>
    </xf>
    <xf numFmtId="10" fontId="34" fillId="0" borderId="54" xfId="0" applyNumberFormat="1" applyFont="1" applyBorder="1" applyAlignment="1">
      <alignment horizontal="center" vertical="center"/>
    </xf>
    <xf numFmtId="10" fontId="34" fillId="0" borderId="72" xfId="28" applyNumberFormat="1" applyFont="1" applyBorder="1" applyAlignment="1">
      <alignment horizontal="center" vertical="center" wrapText="1"/>
    </xf>
    <xf numFmtId="10" fontId="34" fillId="0" borderId="86" xfId="28" applyNumberFormat="1" applyFont="1" applyBorder="1" applyAlignment="1">
      <alignment horizontal="center" vertical="center" wrapText="1"/>
    </xf>
    <xf numFmtId="10" fontId="34" fillId="0" borderId="73" xfId="28" applyNumberFormat="1" applyFont="1" applyBorder="1" applyAlignment="1">
      <alignment horizontal="center" vertical="center" wrapText="1"/>
    </xf>
    <xf numFmtId="10" fontId="34" fillId="0" borderId="35" xfId="0" applyNumberFormat="1" applyFont="1" applyBorder="1" applyAlignment="1">
      <alignment horizontal="center" vertical="center" wrapText="1"/>
    </xf>
    <xf numFmtId="10" fontId="34" fillId="0" borderId="36" xfId="0" applyNumberFormat="1" applyFont="1" applyBorder="1" applyAlignment="1">
      <alignment horizontal="center" vertical="center"/>
    </xf>
    <xf numFmtId="10" fontId="34" fillId="0" borderId="57" xfId="0" applyNumberFormat="1" applyFont="1" applyBorder="1" applyAlignment="1">
      <alignment horizontal="center" vertical="center"/>
    </xf>
    <xf numFmtId="10" fontId="34" fillId="0" borderId="39" xfId="28" applyNumberFormat="1" applyFont="1" applyBorder="1" applyAlignment="1">
      <alignment horizontal="center" vertical="center"/>
    </xf>
    <xf numFmtId="10" fontId="34" fillId="0" borderId="40" xfId="28" applyNumberFormat="1" applyFont="1" applyBorder="1" applyAlignment="1">
      <alignment horizontal="center" vertical="center"/>
    </xf>
    <xf numFmtId="10" fontId="34" fillId="0" borderId="42" xfId="28" applyNumberFormat="1" applyFont="1" applyBorder="1" applyAlignment="1">
      <alignment horizontal="center" vertical="center"/>
    </xf>
    <xf numFmtId="10" fontId="34" fillId="0" borderId="39" xfId="0" applyNumberFormat="1" applyFont="1" applyBorder="1" applyAlignment="1">
      <alignment horizontal="center" vertical="center"/>
    </xf>
    <xf numFmtId="10" fontId="34" fillId="0" borderId="40" xfId="0" applyNumberFormat="1" applyFont="1" applyBorder="1" applyAlignment="1">
      <alignment horizontal="center" vertical="center"/>
    </xf>
    <xf numFmtId="10" fontId="34" fillId="0" borderId="42" xfId="0" applyNumberFormat="1" applyFont="1" applyBorder="1" applyAlignment="1">
      <alignment horizontal="center" vertical="center"/>
    </xf>
    <xf numFmtId="0" fontId="34" fillId="0" borderId="13" xfId="0" applyFont="1" applyFill="1" applyBorder="1" applyAlignment="1">
      <alignment horizontal="center" vertical="center" wrapText="1"/>
    </xf>
    <xf numFmtId="0" fontId="34" fillId="0" borderId="36" xfId="0" applyFont="1" applyFill="1" applyBorder="1" applyAlignment="1">
      <alignment horizontal="center" vertical="center" wrapText="1"/>
    </xf>
    <xf numFmtId="0" fontId="34" fillId="0" borderId="89" xfId="0" applyFont="1" applyBorder="1" applyAlignment="1">
      <alignment horizontal="center" vertical="center" wrapText="1"/>
    </xf>
    <xf numFmtId="11" fontId="34" fillId="0" borderId="39" xfId="28" applyNumberFormat="1" applyFont="1" applyBorder="1" applyAlignment="1">
      <alignment horizontal="center" vertical="center"/>
    </xf>
    <xf numFmtId="0" fontId="0" fillId="30" borderId="108" xfId="0" applyFill="1" applyBorder="1" applyAlignment="1">
      <alignment horizontal="center" vertical="center"/>
    </xf>
    <xf numFmtId="0" fontId="0" fillId="30" borderId="119" xfId="0" applyFill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0" fontId="34" fillId="0" borderId="75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36" xfId="0" applyFont="1" applyBorder="1" applyAlignment="1">
      <alignment horizontal="center" vertical="center" wrapText="1"/>
    </xf>
    <xf numFmtId="0" fontId="34" fillId="0" borderId="13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10" fontId="34" fillId="0" borderId="75" xfId="0" applyNumberFormat="1" applyFont="1" applyBorder="1" applyAlignment="1">
      <alignment horizontal="center" vertical="center" wrapText="1"/>
    </xf>
    <xf numFmtId="10" fontId="34" fillId="0" borderId="13" xfId="0" applyNumberFormat="1" applyFont="1" applyBorder="1" applyAlignment="1">
      <alignment horizontal="center" vertical="center" wrapText="1"/>
    </xf>
    <xf numFmtId="10" fontId="34" fillId="0" borderId="36" xfId="0" applyNumberFormat="1" applyFont="1" applyBorder="1" applyAlignment="1">
      <alignment horizontal="center" vertical="center" wrapText="1"/>
    </xf>
    <xf numFmtId="0" fontId="34" fillId="0" borderId="115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1" fontId="34" fillId="0" borderId="39" xfId="0" applyNumberFormat="1" applyFont="1" applyBorder="1" applyAlignment="1">
      <alignment horizontal="center" vertical="center"/>
    </xf>
    <xf numFmtId="0" fontId="0" fillId="0" borderId="6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57" xfId="0" applyFont="1" applyBorder="1" applyAlignment="1">
      <alignment horizontal="center" vertical="center" wrapText="1"/>
    </xf>
    <xf numFmtId="0" fontId="0" fillId="47" borderId="108" xfId="0" applyFill="1" applyBorder="1" applyAlignment="1">
      <alignment horizontal="center" vertical="center"/>
    </xf>
    <xf numFmtId="0" fontId="0" fillId="47" borderId="122" xfId="0" applyFill="1" applyBorder="1" applyAlignment="1">
      <alignment horizontal="center" vertical="center"/>
    </xf>
    <xf numFmtId="10" fontId="34" fillId="0" borderId="123" xfId="0" applyNumberFormat="1" applyFont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122" xfId="0" applyFill="1" applyBorder="1" applyAlignment="1">
      <alignment horizontal="center" vertical="center"/>
    </xf>
    <xf numFmtId="10" fontId="34" fillId="0" borderId="0" xfId="0" applyNumberFormat="1" applyFont="1" applyBorder="1" applyAlignment="1">
      <alignment horizontal="center" vertical="center"/>
    </xf>
    <xf numFmtId="0" fontId="34" fillId="0" borderId="91" xfId="0" applyFont="1" applyBorder="1" applyAlignment="1">
      <alignment horizontal="center" vertical="center" wrapText="1"/>
    </xf>
    <xf numFmtId="0" fontId="34" fillId="0" borderId="120" xfId="0" applyFont="1" applyFill="1" applyBorder="1" applyAlignment="1">
      <alignment horizontal="center" vertical="center" wrapText="1"/>
    </xf>
    <xf numFmtId="0" fontId="34" fillId="0" borderId="54" xfId="0" applyFont="1" applyFill="1" applyBorder="1" applyAlignment="1">
      <alignment horizontal="center" vertical="center" wrapText="1"/>
    </xf>
    <xf numFmtId="9" fontId="34" fillId="0" borderId="121" xfId="0" applyNumberFormat="1" applyFont="1" applyFill="1" applyBorder="1" applyAlignment="1">
      <alignment horizontal="center" vertical="center"/>
    </xf>
    <xf numFmtId="9" fontId="34" fillId="0" borderId="31" xfId="0" applyNumberFormat="1" applyFont="1" applyFill="1" applyBorder="1" applyAlignment="1">
      <alignment horizontal="center" vertical="center"/>
    </xf>
    <xf numFmtId="9" fontId="34" fillId="0" borderId="36" xfId="0" applyNumberFormat="1" applyFont="1" applyFill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 wrapText="1"/>
    </xf>
    <xf numFmtId="0" fontId="34" fillId="0" borderId="57" xfId="0" applyFont="1" applyFill="1" applyBorder="1" applyAlignment="1">
      <alignment horizontal="center" vertical="center" wrapText="1"/>
    </xf>
    <xf numFmtId="0" fontId="0" fillId="0" borderId="120" xfId="0" applyFont="1" applyFill="1" applyBorder="1" applyAlignment="1">
      <alignment horizontal="center" vertical="center" wrapText="1"/>
    </xf>
    <xf numFmtId="0" fontId="0" fillId="0" borderId="119" xfId="0" applyFill="1" applyBorder="1" applyAlignment="1">
      <alignment horizontal="center" vertical="center"/>
    </xf>
    <xf numFmtId="0" fontId="0" fillId="46" borderId="108" xfId="0" applyFill="1" applyBorder="1" applyAlignment="1">
      <alignment horizontal="center" vertical="center"/>
    </xf>
    <xf numFmtId="0" fontId="0" fillId="46" borderId="119" xfId="0" applyFill="1" applyBorder="1" applyAlignment="1">
      <alignment horizontal="center" vertical="center"/>
    </xf>
    <xf numFmtId="10" fontId="0" fillId="0" borderId="109" xfId="28" applyNumberFormat="1" applyFont="1" applyBorder="1" applyAlignment="1">
      <alignment horizontal="center" vertical="center" wrapText="1"/>
    </xf>
    <xf numFmtId="10" fontId="0" fillId="0" borderId="55" xfId="28" applyNumberFormat="1" applyFont="1" applyBorder="1" applyAlignment="1">
      <alignment horizontal="center" vertical="center" wrapText="1"/>
    </xf>
    <xf numFmtId="10" fontId="0" fillId="0" borderId="72" xfId="28" applyNumberFormat="1" applyFont="1" applyBorder="1" applyAlignment="1">
      <alignment horizontal="center" vertical="center" wrapText="1"/>
    </xf>
    <xf numFmtId="10" fontId="0" fillId="0" borderId="72" xfId="0" applyNumberFormat="1" applyFont="1" applyBorder="1" applyAlignment="1">
      <alignment horizontal="center" vertical="center" wrapText="1"/>
    </xf>
    <xf numFmtId="10" fontId="34" fillId="0" borderId="86" xfId="0" applyNumberFormat="1" applyFont="1" applyBorder="1" applyAlignment="1">
      <alignment horizontal="center" vertical="center"/>
    </xf>
    <xf numFmtId="10" fontId="34" fillId="0" borderId="73" xfId="0" applyNumberFormat="1" applyFont="1" applyBorder="1" applyAlignment="1">
      <alignment horizontal="center" vertical="center"/>
    </xf>
    <xf numFmtId="0" fontId="0" fillId="0" borderId="118" xfId="0" applyFill="1" applyBorder="1" applyAlignment="1">
      <alignment horizontal="center" vertical="center"/>
    </xf>
    <xf numFmtId="0" fontId="27" fillId="41" borderId="28" xfId="0" applyFont="1" applyFill="1" applyBorder="1" applyAlignment="1" applyProtection="1">
      <alignment horizontal="center" vertical="center"/>
      <protection hidden="1"/>
    </xf>
    <xf numFmtId="0" fontId="27" fillId="41" borderId="83" xfId="0" applyFont="1" applyFill="1" applyBorder="1" applyAlignment="1" applyProtection="1">
      <alignment horizontal="center" vertical="center"/>
      <protection hidden="1"/>
    </xf>
    <xf numFmtId="0" fontId="27" fillId="41" borderId="84" xfId="0" applyFont="1" applyFill="1" applyBorder="1" applyAlignment="1" applyProtection="1">
      <alignment horizontal="center" vertical="center"/>
      <protection hidden="1"/>
    </xf>
    <xf numFmtId="0" fontId="25" fillId="0" borderId="12" xfId="0" applyFont="1" applyBorder="1" applyAlignment="1" applyProtection="1">
      <alignment horizontal="center" vertical="center"/>
      <protection hidden="1"/>
    </xf>
    <xf numFmtId="0" fontId="25" fillId="0" borderId="10" xfId="0" applyFont="1" applyBorder="1" applyAlignment="1" applyProtection="1">
      <alignment horizontal="center" vertical="center"/>
      <protection hidden="1"/>
    </xf>
    <xf numFmtId="0" fontId="25" fillId="0" borderId="28" xfId="0" applyFont="1" applyBorder="1" applyAlignment="1" applyProtection="1">
      <alignment horizontal="center" vertical="center"/>
      <protection hidden="1"/>
    </xf>
    <xf numFmtId="0" fontId="25" fillId="0" borderId="83" xfId="0" applyFont="1" applyBorder="1" applyAlignment="1" applyProtection="1">
      <alignment horizontal="center" vertical="center"/>
      <protection hidden="1"/>
    </xf>
    <xf numFmtId="0" fontId="25" fillId="0" borderId="84" xfId="0" applyFont="1" applyBorder="1" applyAlignment="1" applyProtection="1">
      <alignment horizontal="center" vertical="center"/>
      <protection hidden="1"/>
    </xf>
    <xf numFmtId="0" fontId="25" fillId="0" borderId="72" xfId="0" applyFont="1" applyBorder="1" applyAlignment="1" applyProtection="1">
      <alignment horizontal="center" vertical="center"/>
      <protection hidden="1"/>
    </xf>
    <xf numFmtId="0" fontId="25" fillId="0" borderId="86" xfId="0" applyFont="1" applyBorder="1" applyAlignment="1" applyProtection="1">
      <alignment horizontal="center" vertical="center"/>
      <protection hidden="1"/>
    </xf>
    <xf numFmtId="0" fontId="25" fillId="0" borderId="87" xfId="0" applyFont="1" applyBorder="1" applyAlignment="1" applyProtection="1">
      <alignment horizontal="center" vertical="center"/>
      <protection hidden="1"/>
    </xf>
    <xf numFmtId="0" fontId="25" fillId="0" borderId="73" xfId="0" applyFont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83" xfId="0" applyBorder="1" applyAlignment="1" applyProtection="1">
      <alignment horizontal="center" vertical="center"/>
      <protection hidden="1"/>
    </xf>
    <xf numFmtId="9" fontId="0" fillId="50" borderId="125" xfId="28" applyFont="1" applyFill="1" applyBorder="1" applyAlignment="1">
      <alignment horizontal="center" vertical="center" wrapText="1"/>
    </xf>
    <xf numFmtId="0" fontId="0" fillId="50" borderId="52" xfId="0" applyFill="1" applyBorder="1" applyAlignment="1">
      <alignment horizontal="center" vertical="center" wrapText="1"/>
    </xf>
    <xf numFmtId="0" fontId="0" fillId="50" borderId="57" xfId="0" applyFill="1" applyBorder="1" applyAlignment="1">
      <alignment horizontal="center" vertical="center" wrapText="1"/>
    </xf>
    <xf numFmtId="9" fontId="0" fillId="50" borderId="125" xfId="28" applyFont="1" applyFill="1" applyBorder="1" applyAlignment="1">
      <alignment horizontal="center" vertical="center"/>
    </xf>
    <xf numFmtId="9" fontId="0" fillId="50" borderId="52" xfId="28" applyFont="1" applyFill="1" applyBorder="1" applyAlignment="1">
      <alignment horizontal="center" vertical="center"/>
    </xf>
    <xf numFmtId="9" fontId="0" fillId="50" borderId="57" xfId="28" applyFont="1" applyFill="1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5" fillId="66" borderId="28" xfId="0" applyFont="1" applyFill="1" applyBorder="1" applyAlignment="1">
      <alignment horizontal="center" vertical="center"/>
    </xf>
    <xf numFmtId="0" fontId="5" fillId="66" borderId="83" xfId="0" applyFont="1" applyFill="1" applyBorder="1" applyAlignment="1">
      <alignment horizontal="center" vertical="center"/>
    </xf>
    <xf numFmtId="0" fontId="5" fillId="66" borderId="84" xfId="0" applyFont="1" applyFill="1" applyBorder="1" applyAlignment="1">
      <alignment horizontal="center" vertical="center"/>
    </xf>
  </cellXfs>
  <cellStyles count="45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パーセント" xfId="28" builtinId="5"/>
    <cellStyle name="メモ" xfId="29" builtinId="10" customBuiltin="1"/>
    <cellStyle name="リンク セル" xfId="30" builtinId="24" customBuiltin="1"/>
    <cellStyle name="悪い" xfId="31" builtinId="27" customBuiltin="1"/>
    <cellStyle name="計算" xfId="32" builtinId="22" customBuiltin="1"/>
    <cellStyle name="警告文" xfId="33" builtinId="11" customBuiltin="1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_hina2" xfId="42"/>
    <cellStyle name="標準_SimPA_TEST" xfId="43"/>
    <cellStyle name="良い" xfId="44" builtinId="26" customBuiltin="1"/>
  </cellStyles>
  <dxfs count="36">
    <dxf>
      <fill>
        <patternFill>
          <bgColor indexed="45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14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 patternType="none">
          <bgColor indexed="65"/>
        </patternFill>
      </fill>
    </dxf>
    <dxf>
      <fill>
        <patternFill>
          <bgColor rgb="FFFFCCFF"/>
        </patternFill>
      </fill>
    </dxf>
    <dxf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FFCCFF"/>
        </patternFill>
      </fill>
    </dxf>
    <dxf>
      <fill>
        <patternFill patternType="none">
          <bgColor indexed="65"/>
        </patternFill>
      </fill>
    </dxf>
    <dxf>
      <fill>
        <patternFill>
          <bgColor rgb="FFCCFFFF"/>
        </patternFill>
      </fill>
    </dxf>
    <dxf>
      <fill>
        <patternFill>
          <bgColor rgb="FFFFCCFF"/>
        </patternFill>
      </fill>
    </dxf>
    <dxf>
      <fill>
        <patternFill patternType="solid">
          <bgColor rgb="FFFFCCFF"/>
        </patternFill>
      </fill>
    </dxf>
    <dxf>
      <fill>
        <patternFill>
          <bgColor rgb="FFFFCCFF"/>
        </patternFill>
      </fill>
    </dxf>
    <dxf>
      <fill>
        <patternFill patternType="none">
          <bgColor indexed="65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390081999219057E-2"/>
          <c:y val="0.13361481080620771"/>
          <c:w val="0.90135071376453157"/>
          <c:h val="0.796062978066458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graph_data!$E$15</c:f>
              <c:strCache>
                <c:ptCount val="1"/>
                <c:pt idx="0">
                  <c:v>整数ロードメモリアクセス待ち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graph_data!$E$16:$E$31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strRef>
              <c:f>graph_data!$F$15</c:f>
              <c:strCache>
                <c:ptCount val="1"/>
                <c:pt idx="0">
                  <c:v>浮動小数点ロードメモリアクセス待ち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graph_data!$F$16:$F$31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strRef>
              <c:f>graph_data!$G$15</c:f>
              <c:strCache>
                <c:ptCount val="1"/>
                <c:pt idx="0">
                  <c:v>ストア待ち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graph_data!$G$16:$G$31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graph_data!$H$15</c:f>
              <c:strCache>
                <c:ptCount val="1"/>
                <c:pt idx="0">
                  <c:v>I/Oアクセス待ち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graph_data!$H$16:$H$31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strRef>
              <c:f>graph_data!$I$15</c:f>
              <c:strCache>
                <c:ptCount val="1"/>
                <c:pt idx="0">
                  <c:v>整数ロードキャッシュアクセス待ち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graph_data!$I$16:$I$31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strRef>
              <c:f>graph_data!$J$15</c:f>
              <c:strCache>
                <c:ptCount val="1"/>
                <c:pt idx="0">
                  <c:v>浮動小数点ロードキャッシュアクセス待ち</c:v>
                </c:pt>
              </c:strCache>
            </c:strRef>
          </c:tx>
          <c:spPr>
            <a:solidFill>
              <a:srgbClr val="FF7C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graph_data!$J$16:$J$31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6"/>
          <c:order val="6"/>
          <c:tx>
            <c:strRef>
              <c:f>graph_data!$K$15</c:f>
              <c:strCache>
                <c:ptCount val="1"/>
                <c:pt idx="0">
                  <c:v>整数演算待ち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graph_data!$K$16:$K$31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7"/>
          <c:order val="7"/>
          <c:tx>
            <c:strRef>
              <c:f>graph_data!$L$15</c:f>
              <c:strCache>
                <c:ptCount val="1"/>
                <c:pt idx="0">
                  <c:v>浮動小数点演算待ち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graph_data!$L$16:$L$31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8"/>
          <c:order val="8"/>
          <c:tx>
            <c:strRef>
              <c:f>graph_data!$M$15</c:f>
              <c:strCache>
                <c:ptCount val="1"/>
                <c:pt idx="0">
                  <c:v>分岐命令待ち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graph_data!$M$16:$M$31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9"/>
          <c:order val="9"/>
          <c:tx>
            <c:strRef>
              <c:f>graph_data!$N$15</c:f>
              <c:strCache>
                <c:ptCount val="1"/>
                <c:pt idx="0">
                  <c:v>命令フェッチ待ち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graph_data!$N$16:$N$31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0"/>
          <c:order val="10"/>
          <c:tx>
            <c:strRef>
              <c:f>graph_data!$O$15</c:f>
              <c:strCache>
                <c:ptCount val="1"/>
                <c:pt idx="0">
                  <c:v>バリア同期待ち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graph_data!$O$16:$O$31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1"/>
          <c:order val="11"/>
          <c:tx>
            <c:strRef>
              <c:f>graph_data!$P$15</c:f>
              <c:strCache>
                <c:ptCount val="1"/>
                <c:pt idx="0">
                  <c:v>uOPコミット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graph_data!$P$16:$P$31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2"/>
          <c:order val="12"/>
          <c:tx>
            <c:strRef>
              <c:f>graph_data!$Q$15</c:f>
              <c:strCache>
                <c:ptCount val="1"/>
                <c:pt idx="0">
                  <c:v>その他の待ち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graph_data!$Q$16:$Q$31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3"/>
          <c:order val="13"/>
          <c:tx>
            <c:strRef>
              <c:f>graph_data!$R$15</c:f>
              <c:strCache>
                <c:ptCount val="1"/>
                <c:pt idx="0">
                  <c:v>1命令コミット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graph_data!$R$16:$R$31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4"/>
          <c:order val="14"/>
          <c:tx>
            <c:strRef>
              <c:f>graph_data!$S$15</c:f>
              <c:strCache>
                <c:ptCount val="1"/>
                <c:pt idx="0">
                  <c:v>整数レジスタ書き込み制約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graph_data!$S$16:$S$31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5"/>
          <c:order val="15"/>
          <c:tx>
            <c:strRef>
              <c:f>graph_data!$T$15</c:f>
              <c:strCache>
                <c:ptCount val="1"/>
                <c:pt idx="0">
                  <c:v>浮動小数点レジスタ書き込み制約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graph_data!$T$16:$T$31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6"/>
          <c:order val="16"/>
          <c:tx>
            <c:strRef>
              <c:f>graph_data!$U$15</c:f>
              <c:strCache>
                <c:ptCount val="1"/>
                <c:pt idx="0">
                  <c:v>2/3命令コミット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graph_data!$U$16:$U$31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7"/>
          <c:order val="17"/>
          <c:tx>
            <c:strRef>
              <c:f>graph_data!$V$15</c:f>
              <c:strCache>
                <c:ptCount val="1"/>
                <c:pt idx="0">
                  <c:v>4命令コミット</c:v>
                </c:pt>
              </c:strCache>
            </c:strRef>
          </c:tx>
          <c:spPr>
            <a:solidFill>
              <a:srgbClr val="33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graph_data!$D$16:$D$31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graph_data!$V$16:$V$31</c:f>
              <c:numCache>
                <c:formatCode>0.00_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50880"/>
        <c:axId val="94252416"/>
      </c:barChart>
      <c:catAx>
        <c:axId val="9425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4252416"/>
        <c:crosses val="autoZero"/>
        <c:auto val="1"/>
        <c:lblAlgn val="ctr"/>
        <c:lblOffset val="100"/>
        <c:tickLblSkip val="1"/>
        <c:tickMarkSkip val="16"/>
        <c:noMultiLvlLbl val="0"/>
      </c:catAx>
      <c:valAx>
        <c:axId val="94252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 sz="12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[秒]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9171490004909137E-2"/>
              <c:y val="5.9071966136858889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942508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3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8.360966249315481E-2"/>
          <c:y val="1.4422746228339493E-2"/>
          <c:w val="0.85571377199225873"/>
          <c:h val="0.11075335742183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TOP!$C$25:$C$26</c:f>
              <c:strCache>
                <c:ptCount val="1"/>
                <c:pt idx="0">
                  <c:v>SIMD命令率
(/有効総命令数)</c:v>
                </c:pt>
              </c:strCache>
            </c:strRef>
          </c:tx>
          <c:spPr>
            <a:solidFill>
              <a:srgbClr val="00CCFF"/>
            </a:solidFill>
          </c:spPr>
          <c:invertIfNegative val="0"/>
          <c:cat>
            <c:strRef>
              <c:f>TOP!$B$28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TOP!$C$28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TOP!$E$25:$E$26</c:f>
              <c:strCache>
                <c:ptCount val="1"/>
                <c:pt idx="0">
                  <c:v>SIMD命令率
(/SIMD対象命令数）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TOP!$B$28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TOP!$E$28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TOP!$G$25:$G$26</c:f>
              <c:strCache>
                <c:ptCount val="1"/>
                <c:pt idx="0">
                  <c:v>SIMD演算命令率
(/SIMD対象演算命令数)</c:v>
                </c:pt>
              </c:strCache>
            </c:strRef>
          </c:tx>
          <c:spPr>
            <a:solidFill>
              <a:srgbClr val="CCCCFF"/>
            </a:solidFill>
          </c:spPr>
          <c:invertIfNegative val="0"/>
          <c:cat>
            <c:strRef>
              <c:f>TOP!$B$28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TOP!$G$28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TOP!$I$25:$I$26</c:f>
              <c:strCache>
                <c:ptCount val="1"/>
                <c:pt idx="0">
                  <c:v>SIMDロード命令率
(/SIMD対象ロード命令数)</c:v>
                </c:pt>
              </c:strCache>
            </c:strRef>
          </c:tx>
          <c:spPr>
            <a:solidFill>
              <a:srgbClr val="FF7C80"/>
            </a:solidFill>
          </c:spPr>
          <c:invertIfNegative val="0"/>
          <c:cat>
            <c:strRef>
              <c:f>TOP!$B$28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TOP!$I$28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TOP!$K$25:$K$26</c:f>
              <c:strCache>
                <c:ptCount val="1"/>
                <c:pt idx="0">
                  <c:v>SIMDストア命令率
(/SIMD対象ストア命令数)</c:v>
                </c:pt>
              </c:strCache>
            </c:strRef>
          </c:tx>
          <c:spPr>
            <a:solidFill>
              <a:srgbClr val="993366"/>
            </a:solidFill>
          </c:spPr>
          <c:invertIfNegative val="0"/>
          <c:cat>
            <c:strRef>
              <c:f>TOP!$B$28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TOP!$K$28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01152"/>
        <c:axId val="100402688"/>
      </c:barChart>
      <c:catAx>
        <c:axId val="100401152"/>
        <c:scaling>
          <c:orientation val="maxMin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0402688"/>
        <c:crosses val="autoZero"/>
        <c:auto val="1"/>
        <c:lblAlgn val="ctr"/>
        <c:lblOffset val="100"/>
        <c:noMultiLvlLbl val="0"/>
      </c:catAx>
      <c:valAx>
        <c:axId val="100402688"/>
        <c:scaling>
          <c:orientation val="minMax"/>
          <c:max val="1"/>
          <c:min val="0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ja-JP"/>
          </a:p>
        </c:txPr>
        <c:crossAx val="100401152"/>
        <c:crosses val="autoZero"/>
        <c:crossBetween val="between"/>
        <c:majorUnit val="0.1"/>
      </c:valAx>
    </c:plotArea>
    <c:legend>
      <c:legendPos val="t"/>
      <c:layout/>
      <c:overlay val="0"/>
      <c:txPr>
        <a:bodyPr/>
        <a:lstStyle/>
        <a:p>
          <a:pPr>
            <a:defRPr sz="12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18277443555427E-2"/>
          <c:y val="0.48256167979002623"/>
          <c:w val="0.8627587544409443"/>
          <c:h val="0.4599210654223777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TOP!$D$31:$D$32</c:f>
              <c:strCache>
                <c:ptCount val="1"/>
                <c:pt idx="0">
                  <c:v>L1D ミス率
(/ロード・ストア数)</c:v>
                </c:pt>
              </c:strCache>
            </c:strRef>
          </c:tx>
          <c:spPr>
            <a:solidFill>
              <a:srgbClr val="33CCFF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TOP!$D$49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TOP!$J$31:$J$32</c:f>
              <c:strCache>
                <c:ptCount val="1"/>
                <c:pt idx="0">
                  <c:v>L2 ミス率
(/ロード・ストア数)</c:v>
                </c:pt>
              </c:strCache>
            </c:strRef>
          </c:tx>
          <c:spPr>
            <a:solidFill>
              <a:srgbClr val="000099"/>
            </a:solidFill>
          </c:spPr>
          <c:invertIfNegative val="0"/>
          <c:val>
            <c:numRef>
              <c:f>TOP!$J$49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5360"/>
        <c:axId val="100416896"/>
      </c:barChart>
      <c:catAx>
        <c:axId val="100415360"/>
        <c:scaling>
          <c:orientation val="maxMin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0416896"/>
        <c:crosses val="autoZero"/>
        <c:auto val="1"/>
        <c:lblAlgn val="ctr"/>
        <c:lblOffset val="100"/>
        <c:noMultiLvlLbl val="0"/>
      </c:catAx>
      <c:valAx>
        <c:axId val="100416896"/>
        <c:scaling>
          <c:orientation val="minMax"/>
          <c:max val="0.1"/>
          <c:min val="0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0415360"/>
        <c:crosses val="autoZero"/>
        <c:crossBetween val="between"/>
        <c:majorUnit val="1.0000000000000002E-2"/>
      </c:valAx>
    </c:plotArea>
    <c:legend>
      <c:legendPos val="t"/>
      <c:layout>
        <c:manualLayout>
          <c:xMode val="edge"/>
          <c:yMode val="edge"/>
          <c:x val="9.1669056143959135E-2"/>
          <c:y val="8.0156684959834565E-2"/>
          <c:w val="0.33915455039044806"/>
          <c:h val="0.17046289668336911"/>
        </c:manualLayout>
      </c:layout>
      <c:overlay val="0"/>
      <c:txPr>
        <a:bodyPr/>
        <a:lstStyle/>
        <a:p>
          <a:pPr>
            <a:defRPr sz="12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18277443555427E-2"/>
          <c:y val="0.54182128116903017"/>
          <c:w val="0.8627587544409443"/>
          <c:h val="0.4006618025635207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TOP!$G$31:$G$32</c:f>
              <c:strCache>
                <c:ptCount val="1"/>
                <c:pt idx="0">
                  <c:v>L1D ミス dm率
(/L1D ミス数)</c:v>
                </c:pt>
              </c:strCache>
            </c:strRef>
          </c:tx>
          <c:spPr>
            <a:solidFill>
              <a:srgbClr val="660033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TOP!$G$49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TOP!$H$31:$H$32</c:f>
              <c:strCache>
                <c:ptCount val="1"/>
                <c:pt idx="0">
                  <c:v>L1D ミス hwpf 率
(/L1D ミス数)</c:v>
                </c:pt>
              </c:strCache>
            </c:strRef>
          </c:tx>
          <c:spPr>
            <a:solidFill>
              <a:srgbClr val="CCCCFF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TOP!$H$49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TOP!$I$31:$I$32</c:f>
              <c:strCache>
                <c:ptCount val="1"/>
                <c:pt idx="0">
                  <c:v>L1D ミス swpf 率
(/L1D ミス数)</c:v>
                </c:pt>
              </c:strCache>
            </c:strRef>
          </c:tx>
          <c:spPr>
            <a:solidFill>
              <a:srgbClr val="9966FF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TOP!$I$49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56704"/>
        <c:axId val="100990976"/>
      </c:barChart>
      <c:catAx>
        <c:axId val="100456704"/>
        <c:scaling>
          <c:orientation val="maxMin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0990976"/>
        <c:crosses val="autoZero"/>
        <c:auto val="1"/>
        <c:lblAlgn val="ctr"/>
        <c:lblOffset val="100"/>
        <c:noMultiLvlLbl val="0"/>
      </c:catAx>
      <c:valAx>
        <c:axId val="100990976"/>
        <c:scaling>
          <c:orientation val="minMax"/>
          <c:max val="1"/>
          <c:min val="0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04567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1669026623812849E-2"/>
          <c:y val="5.0527236726988077E-2"/>
          <c:w val="0.62747329752192016"/>
          <c:h val="0.22871206888612608"/>
        </c:manualLayout>
      </c:layout>
      <c:overlay val="0"/>
      <c:txPr>
        <a:bodyPr/>
        <a:lstStyle/>
        <a:p>
          <a:pPr>
            <a:defRPr sz="11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18277443555427E-2"/>
          <c:y val="0.54182128116903017"/>
          <c:w val="0.8627587544409443"/>
          <c:h val="0.4006618025635207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TOP!$L$31:$L$32</c:f>
              <c:strCache>
                <c:ptCount val="1"/>
                <c:pt idx="0">
                  <c:v>L2 ミス dm 率
(/L2 ミス数)</c:v>
                </c:pt>
              </c:strCache>
            </c:strRef>
          </c:tx>
          <c:spPr>
            <a:solidFill>
              <a:srgbClr val="660033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TOP!$L$49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TOP!$M$31:$M$32</c:f>
              <c:strCache>
                <c:ptCount val="1"/>
                <c:pt idx="0">
                  <c:v>L2 ミス pf 率
(/L2 ミス数)</c:v>
                </c:pt>
              </c:strCache>
            </c:strRef>
          </c:tx>
          <c:spPr>
            <a:solidFill>
              <a:srgbClr val="CCCCFF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TOP!$M$49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008128"/>
        <c:axId val="101009664"/>
      </c:barChart>
      <c:catAx>
        <c:axId val="101008128"/>
        <c:scaling>
          <c:orientation val="maxMin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1009664"/>
        <c:crosses val="autoZero"/>
        <c:auto val="1"/>
        <c:lblAlgn val="ctr"/>
        <c:lblOffset val="100"/>
        <c:noMultiLvlLbl val="0"/>
      </c:catAx>
      <c:valAx>
        <c:axId val="101009664"/>
        <c:scaling>
          <c:orientation val="minMax"/>
          <c:max val="1"/>
          <c:min val="0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10081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1669026623812849E-2"/>
          <c:y val="5.0527062495566426E-2"/>
          <c:w val="0.40317427971360864"/>
          <c:h val="0.22871154619186113"/>
        </c:manualLayout>
      </c:layout>
      <c:overlay val="0"/>
      <c:txPr>
        <a:bodyPr/>
        <a:lstStyle/>
        <a:p>
          <a:pPr>
            <a:defRPr sz="11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18277443555427E-2"/>
          <c:y val="0.30736810072653964"/>
          <c:w val="0.85976485325697927"/>
          <c:h val="0.635114610673665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TOP!$L$4</c:f>
              <c:strCache>
                <c:ptCount val="1"/>
                <c:pt idx="0">
                  <c:v>メモリビジー率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TOP!$L$6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strRef>
              <c:f>TOP!$M$4</c:f>
              <c:strCache>
                <c:ptCount val="1"/>
                <c:pt idx="0">
                  <c:v>L2エンジンビジー率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Pt>
            <c:idx val="0"/>
            <c:invertIfNegative val="0"/>
            <c:bubble3D val="0"/>
          </c:dPt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TOP!$M$6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2"/>
          <c:tx>
            <c:strRef>
              <c:f>TOP!$N$4</c:f>
              <c:strCache>
                <c:ptCount val="1"/>
                <c:pt idx="0">
                  <c:v>L1エンジンビジー率</c:v>
                </c:pt>
              </c:strCache>
            </c:strRef>
          </c:tx>
          <c:spPr>
            <a:solidFill>
              <a:srgbClr val="FFCC00"/>
            </a:solidFill>
          </c:spPr>
          <c:invertIfNegative val="0"/>
          <c:cat>
            <c:strRef>
              <c:f>TOP!$B$49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TOP!$N$22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047680"/>
        <c:axId val="101053568"/>
      </c:barChart>
      <c:catAx>
        <c:axId val="101047680"/>
        <c:scaling>
          <c:orientation val="maxMin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1053568"/>
        <c:crosses val="autoZero"/>
        <c:auto val="1"/>
        <c:lblAlgn val="ctr"/>
        <c:lblOffset val="100"/>
        <c:noMultiLvlLbl val="0"/>
      </c:catAx>
      <c:valAx>
        <c:axId val="101053568"/>
        <c:scaling>
          <c:orientation val="minMax"/>
          <c:max val="1"/>
          <c:min val="0"/>
        </c:scaling>
        <c:delete val="0"/>
        <c:axPos val="t"/>
        <c:majorGridlines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ja-JP"/>
          </a:p>
        </c:txPr>
        <c:crossAx val="10104768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6.0880369751760824E-2"/>
          <c:y val="3.4782484768589444E-2"/>
          <c:w val="0.89999994108480552"/>
          <c:h val="0.10706808707735063"/>
        </c:manualLayout>
      </c:layout>
      <c:overlay val="0"/>
      <c:txPr>
        <a:bodyPr/>
        <a:lstStyle/>
        <a:p>
          <a:pPr>
            <a:defRPr sz="12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24038374513534E-2"/>
          <c:y val="0.64049387125578372"/>
          <c:w val="0.86850225107399803"/>
          <c:h val="0.29649711827258707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TOP!$C$55</c:f>
              <c:strCache>
                <c:ptCount val="1"/>
                <c:pt idx="0">
                  <c:v>SIMD浮動小数点
ロード命令率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TOP!$C$73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strRef>
              <c:f>TOP!$D$55</c:f>
              <c:strCache>
                <c:ptCount val="1"/>
                <c:pt idx="0">
                  <c:v>浮動小数点
ロード命令率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TOP!$D$73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2"/>
          <c:tx>
            <c:strRef>
              <c:f>TOP!$E$55</c:f>
              <c:strCache>
                <c:ptCount val="1"/>
                <c:pt idx="0">
                  <c:v>SIMD浮動小数点
ストア命令率</c:v>
                </c:pt>
              </c:strCache>
            </c:strRef>
          </c:tx>
          <c:spPr>
            <a:solidFill>
              <a:srgbClr val="660066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TOP!$E$73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3"/>
          <c:tx>
            <c:strRef>
              <c:f>TOP!$F$55</c:f>
              <c:strCache>
                <c:ptCount val="1"/>
                <c:pt idx="0">
                  <c:v>浮動小数点
ストア命令率</c:v>
                </c:pt>
              </c:strCache>
            </c:strRef>
          </c:tx>
          <c:spPr>
            <a:solidFill>
              <a:srgbClr val="993366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TOP!$F$73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4"/>
          <c:tx>
            <c:strRef>
              <c:f>TOP!$G$55</c:f>
              <c:strCache>
                <c:ptCount val="1"/>
                <c:pt idx="0">
                  <c:v>整数
ロード命令率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TOP!$G$73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5"/>
          <c:tx>
            <c:strRef>
              <c:f>TOP!$H$55</c:f>
              <c:strCache>
                <c:ptCount val="1"/>
                <c:pt idx="0">
                  <c:v>整数
ストア命令率</c:v>
                </c:pt>
              </c:strCache>
            </c:strRef>
          </c:tx>
          <c:spPr>
            <a:solidFill>
              <a:srgbClr val="99CC00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TOP!$H$73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6"/>
          <c:tx>
            <c:strRef>
              <c:f>TOP!$I$55</c:f>
              <c:strCache>
                <c:ptCount val="1"/>
                <c:pt idx="0">
                  <c:v>SIMD浮動小数点
演算命令率</c:v>
                </c:pt>
              </c:strCache>
            </c:strRef>
          </c:tx>
          <c:spPr>
            <a:solidFill>
              <a:srgbClr val="00CCFF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TOP!$I$73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7"/>
          <c:tx>
            <c:strRef>
              <c:f>TOP!$J$55</c:f>
              <c:strCache>
                <c:ptCount val="1"/>
                <c:pt idx="0">
                  <c:v>浮動小数点
演算命令率</c:v>
                </c:pt>
              </c:strCache>
            </c:strRef>
          </c:tx>
          <c:spPr>
            <a:solidFill>
              <a:srgbClr val="CCFFFF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TOP!$J$73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8"/>
          <c:tx>
            <c:strRef>
              <c:f>TOP!$K$55</c:f>
              <c:strCache>
                <c:ptCount val="1"/>
                <c:pt idx="0">
                  <c:v>SIMD浮動小数点
積和演算命令率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TOP!$K$73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9"/>
          <c:tx>
            <c:strRef>
              <c:f>TOP!$L$55</c:f>
              <c:strCache>
                <c:ptCount val="1"/>
                <c:pt idx="0">
                  <c:v>浮動小数点
積和演算命令率</c:v>
                </c:pt>
              </c:strCache>
            </c:strRef>
          </c:tx>
          <c:spPr>
            <a:solidFill>
              <a:srgbClr val="CCCCFF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TOP!$L$73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TOP!$M$55</c:f>
              <c:strCache>
                <c:ptCount val="1"/>
                <c:pt idx="0">
                  <c:v>プリフェッチ命令率</c:v>
                </c:pt>
              </c:strCache>
            </c:strRef>
          </c:tx>
          <c:spPr>
            <a:solidFill>
              <a:srgbClr val="9966FF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TOP!$M$73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TOP!$N$55</c:f>
              <c:strCache>
                <c:ptCount val="1"/>
                <c:pt idx="0">
                  <c:v>分岐命令率</c:v>
                </c:pt>
              </c:strCache>
            </c:strRef>
          </c:tx>
          <c:spPr>
            <a:solidFill>
              <a:srgbClr val="000099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TOP!$N$73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TOP!$O$55</c:f>
              <c:strCache>
                <c:ptCount val="1"/>
                <c:pt idx="0">
                  <c:v>その他 命令率</c:v>
                </c:pt>
              </c:strCache>
            </c:strRef>
          </c:tx>
          <c:spPr>
            <a:solidFill>
              <a:srgbClr val="800000"/>
            </a:solidFill>
          </c:spPr>
          <c:invertIfNegative val="0"/>
          <c:cat>
            <c:strRef>
              <c:f>TOP!$B$73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TOP!$O$73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181696"/>
        <c:axId val="101187584"/>
      </c:barChart>
      <c:catAx>
        <c:axId val="101181696"/>
        <c:scaling>
          <c:orientation val="maxMin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1187584"/>
        <c:crosses val="autoZero"/>
        <c:auto val="1"/>
        <c:lblAlgn val="ctr"/>
        <c:lblOffset val="100"/>
        <c:noMultiLvlLbl val="0"/>
      </c:catAx>
      <c:valAx>
        <c:axId val="101187584"/>
        <c:scaling>
          <c:orientation val="minMax"/>
          <c:max val="1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118169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5.0000075062113902E-2"/>
          <c:y val="6.3158419066229862E-2"/>
          <c:w val="0.91567231884384337"/>
          <c:h val="0.37196352280782424"/>
        </c:manualLayout>
      </c:layout>
      <c:overlay val="0"/>
      <c:txPr>
        <a:bodyPr/>
        <a:lstStyle/>
        <a:p>
          <a:pPr>
            <a:defRPr sz="11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TOP!$B$160:$B$175</c:f>
              <c:strCache>
                <c:ptCount val="1"/>
                <c:pt idx="0">
                  <c:v>Thread 0 Thread 1 Thread 2 Thread 3 Thread 4 Thread 5 Thread 6 Thread 7 Thread 8 Thread 9 Thread 10 Thread 11 Thread 12 Thread 13 Thread 14 Thread 15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strRef>
              <c:f>TOP!$B$160:$B$175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TOP!$R$101:$R$116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axId val="101224448"/>
        <c:axId val="101225984"/>
      </c:barChart>
      <c:catAx>
        <c:axId val="10122444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ja-JP"/>
          </a:p>
        </c:txPr>
        <c:crossAx val="101225984"/>
        <c:crosses val="autoZero"/>
        <c:auto val="1"/>
        <c:lblAlgn val="ctr"/>
        <c:lblOffset val="100"/>
        <c:noMultiLvlLbl val="0"/>
      </c:catAx>
      <c:valAx>
        <c:axId val="101225984"/>
        <c:scaling>
          <c:orientation val="minMax"/>
          <c:max val="1"/>
          <c:min val="0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1224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TOP!$B$77:$B$92</c:f>
              <c:strCache>
                <c:ptCount val="1"/>
                <c:pt idx="0">
                  <c:v>Thread 0 Thread 1 Thread 2 Thread 3 Thread 4 Thread 5 Thread 6 Thread 7 Thread 8 Thread 9 Thread 10 Thread 11 Thread 12 Thread 13 Thread 14 Thread 15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strRef>
              <c:f>TOP!$B$77:$B$92</c:f>
              <c:strCache>
                <c:ptCount val="16"/>
                <c:pt idx="0">
                  <c:v>Thread 0</c:v>
                </c:pt>
                <c:pt idx="1">
                  <c:v>Thread 1</c:v>
                </c:pt>
                <c:pt idx="2">
                  <c:v>Thread 2</c:v>
                </c:pt>
                <c:pt idx="3">
                  <c:v>Thread 3</c:v>
                </c:pt>
                <c:pt idx="4">
                  <c:v>Thread 4</c:v>
                </c:pt>
                <c:pt idx="5">
                  <c:v>Thread 5</c:v>
                </c:pt>
                <c:pt idx="6">
                  <c:v>Thread 6</c:v>
                </c:pt>
                <c:pt idx="7">
                  <c:v>Thread 7</c:v>
                </c:pt>
                <c:pt idx="8">
                  <c:v>Thread 8</c:v>
                </c:pt>
                <c:pt idx="9">
                  <c:v>Thread 9</c:v>
                </c:pt>
                <c:pt idx="10">
                  <c:v>Thread 10</c:v>
                </c:pt>
                <c:pt idx="11">
                  <c:v>Thread 11</c:v>
                </c:pt>
                <c:pt idx="12">
                  <c:v>Thread 12</c:v>
                </c:pt>
                <c:pt idx="13">
                  <c:v>Thread 13</c:v>
                </c:pt>
                <c:pt idx="14">
                  <c:v>Thread 14</c:v>
                </c:pt>
                <c:pt idx="15">
                  <c:v>Thread 15</c:v>
                </c:pt>
              </c:strCache>
            </c:strRef>
          </c:cat>
          <c:val>
            <c:numRef>
              <c:f>TOP!$S$101:$S$116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249408"/>
        <c:axId val="101250944"/>
      </c:barChart>
      <c:catAx>
        <c:axId val="101249408"/>
        <c:scaling>
          <c:orientation val="maxMin"/>
        </c:scaling>
        <c:delete val="0"/>
        <c:axPos val="l"/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ja-JP"/>
          </a:p>
        </c:txPr>
        <c:crossAx val="101250944"/>
        <c:crosses val="autoZero"/>
        <c:auto val="1"/>
        <c:lblAlgn val="ctr"/>
        <c:lblOffset val="100"/>
        <c:noMultiLvlLbl val="0"/>
      </c:catAx>
      <c:valAx>
        <c:axId val="101250944"/>
        <c:scaling>
          <c:orientation val="minMax"/>
          <c:max val="1"/>
          <c:min val="0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0124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8.5446681632865853E-2"/>
          <c:y val="0.56559077186143158"/>
          <c:w val="0.86850225107399803"/>
          <c:h val="0.4043904473505474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graph_data!$E$65:$E$66</c:f>
              <c:strCache>
                <c:ptCount val="1"/>
                <c:pt idx="0">
                  <c:v>4命令コミット率</c:v>
                </c:pt>
              </c:strCache>
            </c:strRef>
          </c:tx>
          <c:spPr>
            <a:solidFill>
              <a:srgbClr val="33CCFF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graph_data!$E$67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2"/>
          <c:order val="1"/>
          <c:tx>
            <c:strRef>
              <c:f>graph_data!$F$65:$F$66</c:f>
              <c:strCache>
                <c:ptCount val="1"/>
                <c:pt idx="0">
                  <c:v>2/3命令コミット率</c:v>
                </c:pt>
              </c:strCache>
            </c:strRef>
          </c:tx>
          <c:spPr>
            <a:solidFill>
              <a:srgbClr val="0000FF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graph_data!$F$67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7"/>
          <c:order val="2"/>
          <c:tx>
            <c:strRef>
              <c:f>graph_data!$G$65:$G$66</c:f>
              <c:strCache>
                <c:ptCount val="1"/>
                <c:pt idx="0">
                  <c:v>整数レジスタ書き込み制約率</c:v>
                </c:pt>
              </c:strCache>
            </c:strRef>
          </c:tx>
          <c:spPr>
            <a:solidFill>
              <a:srgbClr val="993366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graph_data!$G$67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8"/>
          <c:order val="3"/>
          <c:tx>
            <c:strRef>
              <c:f>graph_data!$H$65:$H$66</c:f>
              <c:strCache>
                <c:ptCount val="1"/>
                <c:pt idx="0">
                  <c:v>1命令コミット率</c:v>
                </c:pt>
              </c:strCache>
            </c:strRef>
          </c:tx>
          <c:spPr>
            <a:solidFill>
              <a:srgbClr val="800080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graph_data!$H$67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9"/>
          <c:order val="4"/>
          <c:tx>
            <c:strRef>
              <c:f>graph_data!$I$65:$I$66</c:f>
              <c:strCache>
                <c:ptCount val="1"/>
                <c:pt idx="0">
                  <c:v>バリア同期待ち率</c:v>
                </c:pt>
              </c:strCache>
            </c:strRef>
          </c:tx>
          <c:spPr>
            <a:solidFill>
              <a:srgbClr val="FF00FF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graph_data!$I$67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1"/>
          <c:order val="5"/>
          <c:tx>
            <c:strRef>
              <c:f>graph_data!$J$65:$J$66</c:f>
              <c:strCache>
                <c:ptCount val="1"/>
                <c:pt idx="0">
                  <c:v>命令フェッチ待ち率</c:v>
                </c:pt>
              </c:strCache>
            </c:strRef>
          </c:tx>
          <c:spPr>
            <a:solidFill>
              <a:srgbClr val="CC99FF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graph_data!$J$67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3"/>
          <c:order val="6"/>
          <c:tx>
            <c:strRef>
              <c:f>graph_data!$K$65:$K$66</c:f>
              <c:strCache>
                <c:ptCount val="1"/>
                <c:pt idx="0">
                  <c:v>演算待ち率</c:v>
                </c:pt>
              </c:strCache>
            </c:strRef>
          </c:tx>
          <c:spPr>
            <a:solidFill>
              <a:srgbClr val="CCCCFF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graph_data!$K$67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4"/>
          <c:order val="7"/>
          <c:tx>
            <c:strRef>
              <c:f>graph_data!$L$65:$L$66</c:f>
              <c:strCache>
                <c:ptCount val="1"/>
                <c:pt idx="0">
                  <c:v>浮動小数点アクセス待ち率</c:v>
                </c:pt>
              </c:strCache>
            </c:strRef>
          </c:tx>
          <c:spPr>
            <a:solidFill>
              <a:srgbClr val="FF7C80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graph_data!$L$67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5"/>
          <c:order val="8"/>
          <c:tx>
            <c:strRef>
              <c:f>graph_data!$M$65:$M$66</c:f>
              <c:strCache>
                <c:ptCount val="1"/>
                <c:pt idx="0">
                  <c:v>整数アクセス待ち率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graph_data!$M$67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ser>
          <c:idx val="6"/>
          <c:order val="9"/>
          <c:tx>
            <c:strRef>
              <c:f>graph_data!$N$65:$N$66</c:f>
              <c:strCache>
                <c:ptCount val="1"/>
                <c:pt idx="0">
                  <c:v>その他の待ち率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graph_data!$D$67</c:f>
              <c:numCache>
                <c:formatCode>0.00_ </c:formatCode>
                <c:ptCount val="1"/>
                <c:pt idx="0">
                  <c:v>#N/A</c:v>
                </c:pt>
              </c:numCache>
            </c:numRef>
          </c:cat>
          <c:val>
            <c:numRef>
              <c:f>graph_data!$N$67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851200"/>
        <c:axId val="112861184"/>
      </c:barChart>
      <c:catAx>
        <c:axId val="112851200"/>
        <c:scaling>
          <c:orientation val="maxMin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12861184"/>
        <c:crosses val="autoZero"/>
        <c:auto val="1"/>
        <c:lblAlgn val="ctr"/>
        <c:lblOffset val="100"/>
        <c:noMultiLvlLbl val="0"/>
      </c:catAx>
      <c:valAx>
        <c:axId val="112861184"/>
        <c:scaling>
          <c:orientation val="minMax"/>
          <c:max val="1"/>
          <c:min val="0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ja-JP"/>
          </a:p>
        </c:txPr>
        <c:crossAx val="112851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3.7046155693836652E-2"/>
          <c:y val="6.3157974818365104E-2"/>
          <c:w val="0.94770602673712501"/>
          <c:h val="0.36685153486249"/>
        </c:manualLayout>
      </c:layout>
      <c:overlay val="0"/>
      <c:txPr>
        <a:bodyPr/>
        <a:lstStyle/>
        <a:p>
          <a:pPr>
            <a:defRPr sz="11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メモリスループット（</a:t>
            </a:r>
            <a:r>
              <a:rPr lang="en-US" altLang="ja-JP"/>
              <a:t>XFILL</a:t>
            </a:r>
            <a:r>
              <a:rPr lang="ja-JP" altLang="en-US"/>
              <a:t>なし）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24737768123812109"/>
          <c:w val="0.85080052493438318"/>
          <c:h val="0.6366425920897819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MEM_throughput!$C$10</c:f>
              <c:strCache>
                <c:ptCount val="1"/>
                <c:pt idx="0">
                  <c:v>100%の基準値</c:v>
                </c:pt>
              </c:strCache>
            </c:strRef>
          </c:tx>
          <c:xVal>
            <c:numRef>
              <c:f>MEM_throughput!$B$11:$B$21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MEM_throughput!$C$11:$C$21</c:f>
              <c:numCache>
                <c:formatCode>0.0</c:formatCode>
                <c:ptCount val="11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68.400000000000006</c:v>
                </c:pt>
                <c:pt idx="7">
                  <c:v>71.8</c:v>
                </c:pt>
                <c:pt idx="8">
                  <c:v>75.2</c:v>
                </c:pt>
                <c:pt idx="9">
                  <c:v>78.599999999999994</c:v>
                </c:pt>
                <c:pt idx="10">
                  <c:v>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62656"/>
        <c:axId val="113064192"/>
      </c:scatterChart>
      <c:valAx>
        <c:axId val="113062656"/>
        <c:scaling>
          <c:orientation val="minMax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crossAx val="113064192"/>
        <c:crosses val="autoZero"/>
        <c:crossBetween val="midCat"/>
      </c:valAx>
      <c:valAx>
        <c:axId val="113064192"/>
        <c:scaling>
          <c:orientation val="minMax"/>
          <c:min val="55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13062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408333333333332"/>
          <c:y val="0.13017169728783903"/>
          <c:w val="0.59424999999999994"/>
          <c:h val="9.336030912802564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ja-JP" sz="1800" b="1" i="0" baseline="0">
                <a:effectLst/>
              </a:rPr>
              <a:t>メモリスループット（</a:t>
            </a:r>
            <a:r>
              <a:rPr lang="en-US" altLang="ja-JP" sz="1800" b="1" i="0" baseline="0">
                <a:effectLst/>
              </a:rPr>
              <a:t>XFILL</a:t>
            </a:r>
            <a:r>
              <a:rPr lang="ja-JP" altLang="en-US" sz="1800" b="1" i="0" baseline="0">
                <a:effectLst/>
              </a:rPr>
              <a:t>あり</a:t>
            </a:r>
            <a:r>
              <a:rPr lang="ja-JP" altLang="ja-JP" sz="1800" b="1" i="0" baseline="0">
                <a:effectLst/>
              </a:rPr>
              <a:t>）</a:t>
            </a:r>
            <a:endParaRPr lang="ja-JP" altLang="ja-JP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24737768123812109"/>
          <c:w val="0.85080052493438318"/>
          <c:h val="0.6366425920897819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MEM_throughput!$H$10</c:f>
              <c:strCache>
                <c:ptCount val="1"/>
                <c:pt idx="0">
                  <c:v>100%の基準値</c:v>
                </c:pt>
              </c:strCache>
            </c:strRef>
          </c:tx>
          <c:xVal>
            <c:numRef>
              <c:f>MEM_throughput!$G$11:$G$21</c:f>
              <c:numCache>
                <c:formatCode>0%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xVal>
          <c:yVal>
            <c:numRef>
              <c:f>MEM_throughput!$H$11:$H$21</c:f>
              <c:numCache>
                <c:formatCode>0.0</c:formatCode>
                <c:ptCount val="11"/>
                <c:pt idx="0">
                  <c:v>59</c:v>
                </c:pt>
                <c:pt idx="1">
                  <c:v>59.4</c:v>
                </c:pt>
                <c:pt idx="2">
                  <c:v>59.8</c:v>
                </c:pt>
                <c:pt idx="3">
                  <c:v>60.2</c:v>
                </c:pt>
                <c:pt idx="4">
                  <c:v>60.6</c:v>
                </c:pt>
                <c:pt idx="5">
                  <c:v>61</c:v>
                </c:pt>
                <c:pt idx="6">
                  <c:v>65.2</c:v>
                </c:pt>
                <c:pt idx="7">
                  <c:v>69.400000000000006</c:v>
                </c:pt>
                <c:pt idx="8">
                  <c:v>73.599999999999994</c:v>
                </c:pt>
                <c:pt idx="9">
                  <c:v>77.8</c:v>
                </c:pt>
                <c:pt idx="10">
                  <c:v>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05152"/>
        <c:axId val="113106944"/>
      </c:scatterChart>
      <c:valAx>
        <c:axId val="113105152"/>
        <c:scaling>
          <c:orientation val="minMax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crossAx val="113106944"/>
        <c:crosses val="autoZero"/>
        <c:crossBetween val="midCat"/>
      </c:valAx>
      <c:valAx>
        <c:axId val="113106944"/>
        <c:scaling>
          <c:orientation val="minMax"/>
          <c:min val="55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1310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408333333333332"/>
          <c:y val="0.13017169728783903"/>
          <c:w val="0.59424999999999994"/>
          <c:h val="9.336030912802564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96</xdr:row>
      <xdr:rowOff>19050</xdr:rowOff>
    </xdr:from>
    <xdr:to>
      <xdr:col>14</xdr:col>
      <xdr:colOff>828675</xdr:colOff>
      <xdr:row>135</xdr:row>
      <xdr:rowOff>104775</xdr:rowOff>
    </xdr:to>
    <xdr:graphicFrame macro="">
      <xdr:nvGraphicFramePr>
        <xdr:cNvPr id="287774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1171575</xdr:colOff>
      <xdr:row>14</xdr:row>
      <xdr:rowOff>47625</xdr:rowOff>
    </xdr:from>
    <xdr:to>
      <xdr:col>25</xdr:col>
      <xdr:colOff>552450</xdr:colOff>
      <xdr:row>27</xdr:row>
      <xdr:rowOff>114300</xdr:rowOff>
    </xdr:to>
    <xdr:graphicFrame macro="">
      <xdr:nvGraphicFramePr>
        <xdr:cNvPr id="2877747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19050</xdr:colOff>
      <xdr:row>29</xdr:row>
      <xdr:rowOff>47625</xdr:rowOff>
    </xdr:from>
    <xdr:to>
      <xdr:col>25</xdr:col>
      <xdr:colOff>552450</xdr:colOff>
      <xdr:row>33</xdr:row>
      <xdr:rowOff>95250</xdr:rowOff>
    </xdr:to>
    <xdr:graphicFrame macro="">
      <xdr:nvGraphicFramePr>
        <xdr:cNvPr id="2877748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1190625</xdr:colOff>
      <xdr:row>35</xdr:row>
      <xdr:rowOff>66675</xdr:rowOff>
    </xdr:from>
    <xdr:to>
      <xdr:col>25</xdr:col>
      <xdr:colOff>552450</xdr:colOff>
      <xdr:row>41</xdr:row>
      <xdr:rowOff>123825</xdr:rowOff>
    </xdr:to>
    <xdr:graphicFrame macro="">
      <xdr:nvGraphicFramePr>
        <xdr:cNvPr id="2877749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1190625</xdr:colOff>
      <xdr:row>43</xdr:row>
      <xdr:rowOff>47625</xdr:rowOff>
    </xdr:from>
    <xdr:to>
      <xdr:col>25</xdr:col>
      <xdr:colOff>552450</xdr:colOff>
      <xdr:row>49</xdr:row>
      <xdr:rowOff>47625</xdr:rowOff>
    </xdr:to>
    <xdr:graphicFrame macro="">
      <xdr:nvGraphicFramePr>
        <xdr:cNvPr id="2877750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3</xdr:row>
      <xdr:rowOff>0</xdr:rowOff>
    </xdr:from>
    <xdr:to>
      <xdr:col>23</xdr:col>
      <xdr:colOff>476250</xdr:colOff>
      <xdr:row>12</xdr:row>
      <xdr:rowOff>66675</xdr:rowOff>
    </xdr:to>
    <xdr:graphicFrame macro="">
      <xdr:nvGraphicFramePr>
        <xdr:cNvPr id="2877751" name="グラフ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19050</xdr:colOff>
      <xdr:row>60</xdr:row>
      <xdr:rowOff>19050</xdr:rowOff>
    </xdr:from>
    <xdr:to>
      <xdr:col>25</xdr:col>
      <xdr:colOff>552450</xdr:colOff>
      <xdr:row>73</xdr:row>
      <xdr:rowOff>381000</xdr:rowOff>
    </xdr:to>
    <xdr:graphicFrame macro="">
      <xdr:nvGraphicFramePr>
        <xdr:cNvPr id="2877752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1190625</xdr:colOff>
      <xdr:row>75</xdr:row>
      <xdr:rowOff>66675</xdr:rowOff>
    </xdr:from>
    <xdr:to>
      <xdr:col>19</xdr:col>
      <xdr:colOff>1047750</xdr:colOff>
      <xdr:row>93</xdr:row>
      <xdr:rowOff>0</xdr:rowOff>
    </xdr:to>
    <xdr:graphicFrame macro="">
      <xdr:nvGraphicFramePr>
        <xdr:cNvPr id="2877753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1095375</xdr:colOff>
      <xdr:row>75</xdr:row>
      <xdr:rowOff>66675</xdr:rowOff>
    </xdr:from>
    <xdr:to>
      <xdr:col>25</xdr:col>
      <xdr:colOff>504825</xdr:colOff>
      <xdr:row>92</xdr:row>
      <xdr:rowOff>171450</xdr:rowOff>
    </xdr:to>
    <xdr:graphicFrame macro="">
      <xdr:nvGraphicFramePr>
        <xdr:cNvPr id="287775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19050</xdr:colOff>
      <xdr:row>51</xdr:row>
      <xdr:rowOff>219075</xdr:rowOff>
    </xdr:from>
    <xdr:to>
      <xdr:col>25</xdr:col>
      <xdr:colOff>552450</xdr:colOff>
      <xdr:row>58</xdr:row>
      <xdr:rowOff>123825</xdr:rowOff>
    </xdr:to>
    <xdr:graphicFrame macro="">
      <xdr:nvGraphicFramePr>
        <xdr:cNvPr id="2877755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219076</xdr:colOff>
      <xdr:row>22</xdr:row>
      <xdr:rowOff>9525</xdr:rowOff>
    </xdr:from>
    <xdr:to>
      <xdr:col>4</xdr:col>
      <xdr:colOff>971551</xdr:colOff>
      <xdr:row>38</xdr:row>
      <xdr:rowOff>28575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22</xdr:row>
      <xdr:rowOff>0</xdr:rowOff>
    </xdr:from>
    <xdr:to>
      <xdr:col>9</xdr:col>
      <xdr:colOff>990600</xdr:colOff>
      <xdr:row>38</xdr:row>
      <xdr:rowOff>19050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85"/>
  <sheetViews>
    <sheetView tabSelected="1" topLeftCell="B1" zoomScale="60" zoomScaleNormal="60" workbookViewId="0">
      <selection activeCell="B1" sqref="B1"/>
    </sheetView>
  </sheetViews>
  <sheetFormatPr defaultRowHeight="13.5" x14ac:dyDescent="0.15"/>
  <cols>
    <col min="1" max="1" width="7.5" style="510" hidden="1" customWidth="1"/>
    <col min="2" max="2" width="12.5" customWidth="1"/>
    <col min="3" max="6" width="16.25" customWidth="1"/>
    <col min="7" max="7" width="16.875" customWidth="1"/>
    <col min="8" max="8" width="15.625" customWidth="1"/>
    <col min="9" max="9" width="16.25" customWidth="1"/>
    <col min="10" max="11" width="17.5" customWidth="1"/>
    <col min="12" max="12" width="15.625" customWidth="1"/>
    <col min="13" max="15" width="16.25" customWidth="1"/>
    <col min="16" max="16" width="15.625" customWidth="1"/>
    <col min="17" max="17" width="16.25" customWidth="1"/>
    <col min="18" max="19" width="17.875" customWidth="1"/>
    <col min="20" max="20" width="15.625" customWidth="1"/>
    <col min="21" max="21" width="13.75" customWidth="1"/>
    <col min="22" max="22" width="15" customWidth="1"/>
    <col min="23" max="23" width="8.75" customWidth="1"/>
    <col min="24" max="24" width="10" bestFit="1" customWidth="1"/>
  </cols>
  <sheetData>
    <row r="1" spans="1:26" ht="13.5" customHeight="1" thickBot="1" x14ac:dyDescent="0.2">
      <c r="B1" s="566" t="s">
        <v>315</v>
      </c>
      <c r="E1" s="575" t="str">
        <f>data_FX10!D1</f>
        <v>Process No</v>
      </c>
      <c r="F1" s="567"/>
      <c r="G1" s="575" t="str">
        <f>data_FX10!F1</f>
        <v>Interval Name</v>
      </c>
    </row>
    <row r="2" spans="1:26" ht="13.5" customHeight="1" x14ac:dyDescent="0.15">
      <c r="E2" s="567"/>
      <c r="F2" s="567"/>
      <c r="G2" s="567"/>
      <c r="Y2" s="684" t="s">
        <v>300</v>
      </c>
    </row>
    <row r="3" spans="1:26" ht="21.75" customHeight="1" thickBot="1" x14ac:dyDescent="0.2">
      <c r="A3" s="530"/>
      <c r="B3" s="566" t="s">
        <v>173</v>
      </c>
      <c r="C3" s="157"/>
      <c r="D3" s="157"/>
      <c r="E3" s="157"/>
      <c r="F3" s="157"/>
      <c r="G3" s="157"/>
      <c r="H3" s="157"/>
      <c r="I3" s="566" t="s">
        <v>292</v>
      </c>
      <c r="Q3" s="440" t="s">
        <v>314</v>
      </c>
      <c r="Y3" s="685"/>
    </row>
    <row r="4" spans="1:26" ht="48.75" customHeight="1" thickBot="1" x14ac:dyDescent="0.2">
      <c r="A4" s="531"/>
      <c r="B4" s="670"/>
      <c r="C4" s="672" t="s">
        <v>175</v>
      </c>
      <c r="D4" s="674" t="s">
        <v>263</v>
      </c>
      <c r="E4" s="676" t="s">
        <v>39</v>
      </c>
      <c r="F4" s="676" t="s">
        <v>74</v>
      </c>
      <c r="G4" s="705" t="s">
        <v>270</v>
      </c>
      <c r="H4" s="44"/>
      <c r="I4" s="672" t="s">
        <v>255</v>
      </c>
      <c r="J4" s="707" t="s">
        <v>308</v>
      </c>
      <c r="K4" s="695" t="s">
        <v>256</v>
      </c>
      <c r="L4" s="441" t="s">
        <v>309</v>
      </c>
      <c r="M4" s="441" t="s">
        <v>287</v>
      </c>
      <c r="N4" s="443" t="s">
        <v>288</v>
      </c>
      <c r="O4" s="43"/>
      <c r="P4" s="43"/>
      <c r="Y4" s="483">
        <v>0</v>
      </c>
      <c r="Z4" s="485" t="s">
        <v>305</v>
      </c>
    </row>
    <row r="5" spans="1:26" ht="11.25" customHeight="1" thickBot="1" x14ac:dyDescent="0.2">
      <c r="A5" s="532"/>
      <c r="B5" s="671"/>
      <c r="C5" s="673"/>
      <c r="D5" s="675"/>
      <c r="E5" s="677"/>
      <c r="F5" s="677"/>
      <c r="G5" s="706"/>
      <c r="H5" s="44"/>
      <c r="I5" s="673"/>
      <c r="J5" s="696"/>
      <c r="K5" s="696"/>
      <c r="L5" s="438"/>
      <c r="M5" s="488"/>
      <c r="N5" s="442"/>
      <c r="O5" s="43"/>
      <c r="P5" s="43"/>
    </row>
    <row r="6" spans="1:26" ht="15" thickTop="1" x14ac:dyDescent="0.15">
      <c r="A6" s="533"/>
      <c r="B6" s="46" t="str">
        <f>data_FX10!A3</f>
        <v>Thread 0</v>
      </c>
      <c r="C6" s="47">
        <f>data_FX10!T122</f>
        <v>0</v>
      </c>
      <c r="D6" s="48" t="e">
        <f>data_FX10!BO3</f>
        <v>#DIV/0!</v>
      </c>
      <c r="E6" s="519" t="e">
        <f>data_FX10!BN3</f>
        <v>#DIV/0!</v>
      </c>
      <c r="F6" s="519" t="e">
        <f>data_FX10!BP3</f>
        <v>#DIV/0!</v>
      </c>
      <c r="G6" s="520">
        <f>data_FX10!DM3</f>
        <v>0</v>
      </c>
      <c r="H6" s="43"/>
      <c r="I6" s="47" t="e">
        <f>data_FX10!BR3</f>
        <v>#DIV/0!</v>
      </c>
      <c r="J6" s="492" t="e">
        <f>IF($Y$4&gt;0,data_FX10!ED3,data_FX10!EC3)</f>
        <v>#DIV/0!</v>
      </c>
      <c r="K6" s="523" t="e">
        <f>data_FX10!BS3</f>
        <v>#DIV/0!</v>
      </c>
      <c r="L6" s="697" t="e">
        <f>I22/data_FX10!EM23</f>
        <v>#DIV/0!</v>
      </c>
      <c r="M6" s="697" t="e">
        <f>IF($Y$4&gt;0,data_FX10!EF23,data_FX10!EE23)</f>
        <v>#DIV/0!</v>
      </c>
      <c r="N6" s="437">
        <f>data_FX10!EG3</f>
        <v>0</v>
      </c>
      <c r="O6" s="43"/>
      <c r="P6" s="43"/>
    </row>
    <row r="7" spans="1:26" ht="14.25" x14ac:dyDescent="0.15">
      <c r="A7" s="534"/>
      <c r="B7" s="51" t="str">
        <f>data_FX10!A4</f>
        <v>Thread 1</v>
      </c>
      <c r="C7" s="52">
        <f>data_FX10!T123</f>
        <v>0</v>
      </c>
      <c r="D7" s="53" t="e">
        <f>data_FX10!BO4</f>
        <v>#DIV/0!</v>
      </c>
      <c r="E7" s="54" t="e">
        <f>data_FX10!BN4</f>
        <v>#DIV/0!</v>
      </c>
      <c r="F7" s="54" t="e">
        <f>data_FX10!BP4</f>
        <v>#DIV/0!</v>
      </c>
      <c r="G7" s="55">
        <f>data_FX10!DM4</f>
        <v>0</v>
      </c>
      <c r="H7" s="56"/>
      <c r="I7" s="52" t="e">
        <f>data_FX10!BR4</f>
        <v>#DIV/0!</v>
      </c>
      <c r="J7" s="486" t="e">
        <f>IF($Y$4&gt;0,data_FX10!ED4,data_FX10!EC4)</f>
        <v>#DIV/0!</v>
      </c>
      <c r="K7" s="486" t="e">
        <f>data_FX10!BS4</f>
        <v>#DIV/0!</v>
      </c>
      <c r="L7" s="698"/>
      <c r="M7" s="698"/>
      <c r="N7" s="421">
        <f>data_FX10!EG4</f>
        <v>0</v>
      </c>
      <c r="O7" s="43"/>
      <c r="P7" s="43"/>
    </row>
    <row r="8" spans="1:26" ht="14.25" x14ac:dyDescent="0.15">
      <c r="A8" s="534"/>
      <c r="B8" s="51" t="str">
        <f>data_FX10!A5</f>
        <v>Thread 2</v>
      </c>
      <c r="C8" s="52">
        <f>data_FX10!T124</f>
        <v>0</v>
      </c>
      <c r="D8" s="53" t="e">
        <f>data_FX10!BO5</f>
        <v>#DIV/0!</v>
      </c>
      <c r="E8" s="54" t="e">
        <f>data_FX10!BN5</f>
        <v>#DIV/0!</v>
      </c>
      <c r="F8" s="54" t="e">
        <f>data_FX10!BP5</f>
        <v>#DIV/0!</v>
      </c>
      <c r="G8" s="55">
        <f>data_FX10!DM5</f>
        <v>0</v>
      </c>
      <c r="H8" s="56"/>
      <c r="I8" s="52" t="e">
        <f>data_FX10!BR5</f>
        <v>#DIV/0!</v>
      </c>
      <c r="J8" s="486" t="e">
        <f>IF($Y$4&gt;0,data_FX10!ED5,data_FX10!EC5)</f>
        <v>#DIV/0!</v>
      </c>
      <c r="K8" s="486" t="e">
        <f>data_FX10!BS5</f>
        <v>#DIV/0!</v>
      </c>
      <c r="L8" s="698"/>
      <c r="M8" s="698"/>
      <c r="N8" s="421">
        <f>data_FX10!EG5</f>
        <v>0</v>
      </c>
      <c r="O8" s="43"/>
      <c r="P8" s="43"/>
    </row>
    <row r="9" spans="1:26" ht="14.25" x14ac:dyDescent="0.15">
      <c r="A9" s="534"/>
      <c r="B9" s="51" t="str">
        <f>data_FX10!A6</f>
        <v>Thread 3</v>
      </c>
      <c r="C9" s="52">
        <f>data_FX10!T125</f>
        <v>0</v>
      </c>
      <c r="D9" s="53" t="e">
        <f>data_FX10!BO6</f>
        <v>#DIV/0!</v>
      </c>
      <c r="E9" s="54" t="e">
        <f>data_FX10!BN6</f>
        <v>#DIV/0!</v>
      </c>
      <c r="F9" s="54" t="e">
        <f>data_FX10!BP6</f>
        <v>#DIV/0!</v>
      </c>
      <c r="G9" s="55">
        <f>data_FX10!DM6</f>
        <v>0</v>
      </c>
      <c r="H9" s="56"/>
      <c r="I9" s="52" t="e">
        <f>data_FX10!BR6</f>
        <v>#DIV/0!</v>
      </c>
      <c r="J9" s="486" t="e">
        <f>IF($Y$4&gt;0,data_FX10!ED6,data_FX10!EC6)</f>
        <v>#DIV/0!</v>
      </c>
      <c r="K9" s="486" t="e">
        <f>data_FX10!BS6</f>
        <v>#DIV/0!</v>
      </c>
      <c r="L9" s="698"/>
      <c r="M9" s="698"/>
      <c r="N9" s="421">
        <f>data_FX10!EG6</f>
        <v>0</v>
      </c>
      <c r="O9" s="43"/>
      <c r="P9" s="43"/>
    </row>
    <row r="10" spans="1:26" ht="14.25" x14ac:dyDescent="0.15">
      <c r="A10" s="534"/>
      <c r="B10" s="51" t="str">
        <f>data_FX10!A7</f>
        <v>Thread 4</v>
      </c>
      <c r="C10" s="52">
        <f>data_FX10!T126</f>
        <v>0</v>
      </c>
      <c r="D10" s="53" t="e">
        <f>data_FX10!BO7</f>
        <v>#DIV/0!</v>
      </c>
      <c r="E10" s="54" t="e">
        <f>data_FX10!BN7</f>
        <v>#DIV/0!</v>
      </c>
      <c r="F10" s="54" t="e">
        <f>data_FX10!BP7</f>
        <v>#DIV/0!</v>
      </c>
      <c r="G10" s="55">
        <f>data_FX10!DM7</f>
        <v>0</v>
      </c>
      <c r="H10" s="56"/>
      <c r="I10" s="52" t="e">
        <f>data_FX10!BR7</f>
        <v>#DIV/0!</v>
      </c>
      <c r="J10" s="486" t="e">
        <f>IF($Y$4&gt;0,data_FX10!ED7,data_FX10!EC7)</f>
        <v>#DIV/0!</v>
      </c>
      <c r="K10" s="486" t="e">
        <f>data_FX10!BS7</f>
        <v>#DIV/0!</v>
      </c>
      <c r="L10" s="698"/>
      <c r="M10" s="698"/>
      <c r="N10" s="421">
        <f>data_FX10!EG7</f>
        <v>0</v>
      </c>
      <c r="O10" s="43"/>
      <c r="P10" s="43"/>
    </row>
    <row r="11" spans="1:26" ht="14.25" x14ac:dyDescent="0.15">
      <c r="A11" s="534"/>
      <c r="B11" s="51" t="str">
        <f>data_FX10!A8</f>
        <v>Thread 5</v>
      </c>
      <c r="C11" s="52">
        <f>data_FX10!T127</f>
        <v>0</v>
      </c>
      <c r="D11" s="53" t="e">
        <f>data_FX10!BO8</f>
        <v>#DIV/0!</v>
      </c>
      <c r="E11" s="54" t="e">
        <f>data_FX10!BN8</f>
        <v>#DIV/0!</v>
      </c>
      <c r="F11" s="54" t="e">
        <f>data_FX10!BP8</f>
        <v>#DIV/0!</v>
      </c>
      <c r="G11" s="55">
        <f>data_FX10!DM8</f>
        <v>0</v>
      </c>
      <c r="H11" s="56"/>
      <c r="I11" s="52" t="e">
        <f>data_FX10!BR8</f>
        <v>#DIV/0!</v>
      </c>
      <c r="J11" s="486" t="e">
        <f>IF($Y$4&gt;0,data_FX10!ED8,data_FX10!EC8)</f>
        <v>#DIV/0!</v>
      </c>
      <c r="K11" s="486" t="e">
        <f>data_FX10!BS8</f>
        <v>#DIV/0!</v>
      </c>
      <c r="L11" s="698"/>
      <c r="M11" s="698"/>
      <c r="N11" s="421">
        <f>data_FX10!EG8</f>
        <v>0</v>
      </c>
      <c r="O11" s="43"/>
      <c r="P11" s="43"/>
    </row>
    <row r="12" spans="1:26" ht="14.25" x14ac:dyDescent="0.15">
      <c r="A12" s="534"/>
      <c r="B12" s="51" t="str">
        <f>data_FX10!A9</f>
        <v>Thread 6</v>
      </c>
      <c r="C12" s="52">
        <f>data_FX10!T128</f>
        <v>0</v>
      </c>
      <c r="D12" s="53" t="e">
        <f>data_FX10!BO9</f>
        <v>#DIV/0!</v>
      </c>
      <c r="E12" s="54" t="e">
        <f>data_FX10!BN9</f>
        <v>#DIV/0!</v>
      </c>
      <c r="F12" s="54" t="e">
        <f>data_FX10!BP9</f>
        <v>#DIV/0!</v>
      </c>
      <c r="G12" s="55">
        <f>data_FX10!DM9</f>
        <v>0</v>
      </c>
      <c r="H12" s="56"/>
      <c r="I12" s="52" t="e">
        <f>data_FX10!BR9</f>
        <v>#DIV/0!</v>
      </c>
      <c r="J12" s="486" t="e">
        <f>IF($Y$4&gt;0,data_FX10!ED9,data_FX10!EC9)</f>
        <v>#DIV/0!</v>
      </c>
      <c r="K12" s="486" t="e">
        <f>data_FX10!BS9</f>
        <v>#DIV/0!</v>
      </c>
      <c r="L12" s="698"/>
      <c r="M12" s="698"/>
      <c r="N12" s="421">
        <f>data_FX10!EG9</f>
        <v>0</v>
      </c>
      <c r="O12" s="43"/>
      <c r="P12" s="43"/>
    </row>
    <row r="13" spans="1:26" ht="15" thickBot="1" x14ac:dyDescent="0.2">
      <c r="A13" s="535"/>
      <c r="B13" s="51" t="str">
        <f>data_FX10!A10</f>
        <v>Thread 7</v>
      </c>
      <c r="C13" s="52">
        <f>data_FX10!T129</f>
        <v>0</v>
      </c>
      <c r="D13" s="53" t="e">
        <f>data_FX10!BO10</f>
        <v>#DIV/0!</v>
      </c>
      <c r="E13" s="54" t="e">
        <f>data_FX10!BN10</f>
        <v>#DIV/0!</v>
      </c>
      <c r="F13" s="54" t="e">
        <f>data_FX10!BP10</f>
        <v>#DIV/0!</v>
      </c>
      <c r="G13" s="55">
        <f>data_FX10!DM10</f>
        <v>0</v>
      </c>
      <c r="H13" s="56"/>
      <c r="I13" s="52" t="e">
        <f>data_FX10!BR10</f>
        <v>#DIV/0!</v>
      </c>
      <c r="J13" s="486" t="e">
        <f>IF($Y$4&gt;0,data_FX10!ED10,data_FX10!EC10)</f>
        <v>#DIV/0!</v>
      </c>
      <c r="K13" s="486" t="e">
        <f>data_FX10!BS10</f>
        <v>#DIV/0!</v>
      </c>
      <c r="L13" s="698"/>
      <c r="M13" s="698"/>
      <c r="N13" s="421">
        <f>data_FX10!EG10</f>
        <v>0</v>
      </c>
      <c r="O13" s="43"/>
      <c r="P13" s="43"/>
    </row>
    <row r="14" spans="1:26" ht="14.25" x14ac:dyDescent="0.15">
      <c r="A14" s="533"/>
      <c r="B14" s="46" t="str">
        <f>data_FX10!A11</f>
        <v>Thread 8</v>
      </c>
      <c r="C14" s="47">
        <f>data_FX10!T130</f>
        <v>0</v>
      </c>
      <c r="D14" s="48" t="e">
        <f>data_FX10!BO11</f>
        <v>#DIV/0!</v>
      </c>
      <c r="E14" s="54" t="e">
        <f>data_FX10!BN11</f>
        <v>#DIV/0!</v>
      </c>
      <c r="F14" s="54" t="e">
        <f>data_FX10!BP11</f>
        <v>#DIV/0!</v>
      </c>
      <c r="G14" s="55">
        <f>data_FX10!DM11</f>
        <v>0</v>
      </c>
      <c r="H14" s="43"/>
      <c r="I14" s="52" t="e">
        <f>data_FX10!BR11</f>
        <v>#DIV/0!</v>
      </c>
      <c r="J14" s="492" t="e">
        <f>IF($Y$4&gt;0,data_FX10!ED11,data_FX10!EC11)</f>
        <v>#DIV/0!</v>
      </c>
      <c r="K14" s="486" t="e">
        <f>data_FX10!BS11</f>
        <v>#DIV/0!</v>
      </c>
      <c r="L14" s="698"/>
      <c r="M14" s="698"/>
      <c r="N14" s="437">
        <f>data_FX10!EG11</f>
        <v>0</v>
      </c>
      <c r="O14" s="43"/>
      <c r="P14" s="43"/>
      <c r="Q14" s="156" t="s">
        <v>160</v>
      </c>
    </row>
    <row r="15" spans="1:26" ht="14.25" x14ac:dyDescent="0.15">
      <c r="A15" s="534"/>
      <c r="B15" s="51" t="str">
        <f>data_FX10!A12</f>
        <v>Thread 9</v>
      </c>
      <c r="C15" s="52">
        <f>data_FX10!T131</f>
        <v>0</v>
      </c>
      <c r="D15" s="53" t="e">
        <f>data_FX10!BO12</f>
        <v>#DIV/0!</v>
      </c>
      <c r="E15" s="54" t="e">
        <f>data_FX10!BN12</f>
        <v>#DIV/0!</v>
      </c>
      <c r="F15" s="54" t="e">
        <f>data_FX10!BP12</f>
        <v>#DIV/0!</v>
      </c>
      <c r="G15" s="55">
        <f>data_FX10!DM12</f>
        <v>0</v>
      </c>
      <c r="H15" s="56"/>
      <c r="I15" s="52" t="e">
        <f>data_FX10!BR12</f>
        <v>#DIV/0!</v>
      </c>
      <c r="J15" s="486" t="e">
        <f>IF($Y$4&gt;0,data_FX10!ED12,data_FX10!EC12)</f>
        <v>#DIV/0!</v>
      </c>
      <c r="K15" s="486" t="e">
        <f>data_FX10!BS12</f>
        <v>#DIV/0!</v>
      </c>
      <c r="L15" s="698"/>
      <c r="M15" s="698"/>
      <c r="N15" s="421">
        <f>data_FX10!EG12</f>
        <v>0</v>
      </c>
      <c r="O15" s="43"/>
      <c r="P15" s="43"/>
    </row>
    <row r="16" spans="1:26" ht="14.25" x14ac:dyDescent="0.15">
      <c r="A16" s="534"/>
      <c r="B16" s="51" t="str">
        <f>data_FX10!A13</f>
        <v>Thread 10</v>
      </c>
      <c r="C16" s="52">
        <f>data_FX10!T132</f>
        <v>0</v>
      </c>
      <c r="D16" s="53" t="e">
        <f>data_FX10!BO13</f>
        <v>#DIV/0!</v>
      </c>
      <c r="E16" s="54" t="e">
        <f>data_FX10!BN13</f>
        <v>#DIV/0!</v>
      </c>
      <c r="F16" s="54" t="e">
        <f>data_FX10!BP13</f>
        <v>#DIV/0!</v>
      </c>
      <c r="G16" s="55">
        <f>data_FX10!DM13</f>
        <v>0</v>
      </c>
      <c r="H16" s="56"/>
      <c r="I16" s="52" t="e">
        <f>data_FX10!BR13</f>
        <v>#DIV/0!</v>
      </c>
      <c r="J16" s="486" t="e">
        <f>IF($Y$4&gt;0,data_FX10!ED13,data_FX10!EC13)</f>
        <v>#DIV/0!</v>
      </c>
      <c r="K16" s="486" t="e">
        <f>data_FX10!BS13</f>
        <v>#DIV/0!</v>
      </c>
      <c r="L16" s="698"/>
      <c r="M16" s="698"/>
      <c r="N16" s="421">
        <f>data_FX10!EG13</f>
        <v>0</v>
      </c>
      <c r="O16" s="43"/>
      <c r="P16" s="43"/>
    </row>
    <row r="17" spans="1:17" ht="14.25" x14ac:dyDescent="0.15">
      <c r="A17" s="534"/>
      <c r="B17" s="51" t="str">
        <f>data_FX10!A14</f>
        <v>Thread 11</v>
      </c>
      <c r="C17" s="52">
        <f>data_FX10!T133</f>
        <v>0</v>
      </c>
      <c r="D17" s="53" t="e">
        <f>data_FX10!BO14</f>
        <v>#DIV/0!</v>
      </c>
      <c r="E17" s="54" t="e">
        <f>data_FX10!BN14</f>
        <v>#DIV/0!</v>
      </c>
      <c r="F17" s="54" t="e">
        <f>data_FX10!BP14</f>
        <v>#DIV/0!</v>
      </c>
      <c r="G17" s="55">
        <f>data_FX10!DM14</f>
        <v>0</v>
      </c>
      <c r="H17" s="56"/>
      <c r="I17" s="52" t="e">
        <f>data_FX10!BR14</f>
        <v>#DIV/0!</v>
      </c>
      <c r="J17" s="486" t="e">
        <f>IF($Y$4&gt;0,data_FX10!ED14,data_FX10!EC14)</f>
        <v>#DIV/0!</v>
      </c>
      <c r="K17" s="486" t="e">
        <f>data_FX10!BS14</f>
        <v>#DIV/0!</v>
      </c>
      <c r="L17" s="698"/>
      <c r="M17" s="698"/>
      <c r="N17" s="421">
        <f>data_FX10!EG14</f>
        <v>0</v>
      </c>
      <c r="O17" s="43"/>
      <c r="P17" s="43"/>
    </row>
    <row r="18" spans="1:17" ht="14.25" x14ac:dyDescent="0.15">
      <c r="A18" s="534"/>
      <c r="B18" s="51" t="str">
        <f>data_FX10!A15</f>
        <v>Thread 12</v>
      </c>
      <c r="C18" s="52">
        <f>data_FX10!T134</f>
        <v>0</v>
      </c>
      <c r="D18" s="53" t="e">
        <f>data_FX10!BO15</f>
        <v>#DIV/0!</v>
      </c>
      <c r="E18" s="54" t="e">
        <f>data_FX10!BN15</f>
        <v>#DIV/0!</v>
      </c>
      <c r="F18" s="54" t="e">
        <f>data_FX10!BP15</f>
        <v>#DIV/0!</v>
      </c>
      <c r="G18" s="55">
        <f>data_FX10!DM15</f>
        <v>0</v>
      </c>
      <c r="H18" s="56"/>
      <c r="I18" s="52" t="e">
        <f>data_FX10!BR15</f>
        <v>#DIV/0!</v>
      </c>
      <c r="J18" s="486" t="e">
        <f>IF($Y$4&gt;0,data_FX10!ED15,data_FX10!EC15)</f>
        <v>#DIV/0!</v>
      </c>
      <c r="K18" s="486" t="e">
        <f>data_FX10!BS15</f>
        <v>#DIV/0!</v>
      </c>
      <c r="L18" s="698"/>
      <c r="M18" s="698"/>
      <c r="N18" s="421">
        <f>data_FX10!EG15</f>
        <v>0</v>
      </c>
      <c r="O18" s="43"/>
      <c r="P18" s="43"/>
    </row>
    <row r="19" spans="1:17" ht="14.25" x14ac:dyDescent="0.15">
      <c r="A19" s="534"/>
      <c r="B19" s="51" t="str">
        <f>data_FX10!A16</f>
        <v>Thread 13</v>
      </c>
      <c r="C19" s="52">
        <f>data_FX10!T135</f>
        <v>0</v>
      </c>
      <c r="D19" s="53" t="e">
        <f>data_FX10!BO16</f>
        <v>#DIV/0!</v>
      </c>
      <c r="E19" s="54" t="e">
        <f>data_FX10!BN16</f>
        <v>#DIV/0!</v>
      </c>
      <c r="F19" s="54" t="e">
        <f>data_FX10!BP16</f>
        <v>#DIV/0!</v>
      </c>
      <c r="G19" s="55">
        <f>data_FX10!DM16</f>
        <v>0</v>
      </c>
      <c r="H19" s="56"/>
      <c r="I19" s="52" t="e">
        <f>data_FX10!BR16</f>
        <v>#DIV/0!</v>
      </c>
      <c r="J19" s="486" t="e">
        <f>IF($Y$4&gt;0,data_FX10!ED16,data_FX10!EC16)</f>
        <v>#DIV/0!</v>
      </c>
      <c r="K19" s="486" t="e">
        <f>data_FX10!BS16</f>
        <v>#DIV/0!</v>
      </c>
      <c r="L19" s="698"/>
      <c r="M19" s="698"/>
      <c r="N19" s="421">
        <f>data_FX10!EG16</f>
        <v>0</v>
      </c>
      <c r="O19" s="43"/>
      <c r="P19" s="43"/>
    </row>
    <row r="20" spans="1:17" ht="14.25" x14ac:dyDescent="0.15">
      <c r="A20" s="534"/>
      <c r="B20" s="51" t="str">
        <f>data_FX10!A17</f>
        <v>Thread 14</v>
      </c>
      <c r="C20" s="52">
        <f>data_FX10!T136</f>
        <v>0</v>
      </c>
      <c r="D20" s="53" t="e">
        <f>data_FX10!BO17</f>
        <v>#DIV/0!</v>
      </c>
      <c r="E20" s="54" t="e">
        <f>data_FX10!BN17</f>
        <v>#DIV/0!</v>
      </c>
      <c r="F20" s="54" t="e">
        <f>data_FX10!BP17</f>
        <v>#DIV/0!</v>
      </c>
      <c r="G20" s="55">
        <f>data_FX10!DM17</f>
        <v>0</v>
      </c>
      <c r="H20" s="56"/>
      <c r="I20" s="52" t="e">
        <f>data_FX10!BR17</f>
        <v>#DIV/0!</v>
      </c>
      <c r="J20" s="486" t="e">
        <f>IF($Y$4&gt;0,data_FX10!ED17,data_FX10!EC17)</f>
        <v>#DIV/0!</v>
      </c>
      <c r="K20" s="486" t="e">
        <f>data_FX10!BS17</f>
        <v>#DIV/0!</v>
      </c>
      <c r="L20" s="698"/>
      <c r="M20" s="698"/>
      <c r="N20" s="421">
        <f>data_FX10!EG17</f>
        <v>0</v>
      </c>
      <c r="O20" s="43"/>
      <c r="P20" s="43"/>
    </row>
    <row r="21" spans="1:17" ht="15" thickBot="1" x14ac:dyDescent="0.2">
      <c r="A21" s="535"/>
      <c r="B21" s="46" t="str">
        <f>data_FX10!A18</f>
        <v>Thread 15</v>
      </c>
      <c r="C21" s="60">
        <f>data_FX10!T137</f>
        <v>0</v>
      </c>
      <c r="D21" s="61" t="e">
        <f>data_FX10!BO18</f>
        <v>#DIV/0!</v>
      </c>
      <c r="E21" s="521" t="e">
        <f>data_FX10!BN18</f>
        <v>#DIV/0!</v>
      </c>
      <c r="F21" s="521" t="e">
        <f>data_FX10!BP18</f>
        <v>#DIV/0!</v>
      </c>
      <c r="G21" s="62">
        <f>data_FX10!DM18</f>
        <v>0</v>
      </c>
      <c r="H21" s="56"/>
      <c r="I21" s="522" t="e">
        <f>data_FX10!BR18</f>
        <v>#DIV/0!</v>
      </c>
      <c r="J21" s="487" t="e">
        <f>IF($Y$4&gt;0,data_FX10!ED18,data_FX10!EC18)</f>
        <v>#DIV/0!</v>
      </c>
      <c r="K21" s="487" t="e">
        <f>data_FX10!BS18</f>
        <v>#DIV/0!</v>
      </c>
      <c r="L21" s="698"/>
      <c r="M21" s="698"/>
      <c r="N21" s="422">
        <f>data_FX10!EG18</f>
        <v>0</v>
      </c>
      <c r="O21" s="43"/>
      <c r="P21" s="43"/>
    </row>
    <row r="22" spans="1:17" ht="15.75" thickTop="1" thickBot="1" x14ac:dyDescent="0.2">
      <c r="A22" s="536"/>
      <c r="B22" s="69" t="str">
        <f>data_FX10!A23</f>
        <v>Process</v>
      </c>
      <c r="C22" s="64">
        <f>MAX(C6:C21)</f>
        <v>0</v>
      </c>
      <c r="D22" s="65" t="e">
        <f>E22/(14.784*1000*COUNTA(data_FX10!A3:'data_FX10'!A18))</f>
        <v>#DIV/0!</v>
      </c>
      <c r="E22" s="66" t="e">
        <f>data_FX10!BN23</f>
        <v>#DIV/0!</v>
      </c>
      <c r="F22" s="67" t="e">
        <f>data_FX10!BP23</f>
        <v>#DIV/0!</v>
      </c>
      <c r="G22" s="68">
        <f>data_FX10!DM23</f>
        <v>0</v>
      </c>
      <c r="H22" s="56"/>
      <c r="I22" s="64" t="e">
        <f>data_FX10!BR23</f>
        <v>#DIV/0!</v>
      </c>
      <c r="J22" s="128" t="e">
        <f>IF($Y$4&gt;0,data_FX10!ED23,data_FX10!EC23)</f>
        <v>#DIV/0!</v>
      </c>
      <c r="K22" s="128" t="e">
        <f>data_FX10!BS23</f>
        <v>#DIV/0!</v>
      </c>
      <c r="L22" s="699"/>
      <c r="M22" s="699"/>
      <c r="N22" s="455">
        <f>data_FX10!EG23</f>
        <v>0</v>
      </c>
      <c r="O22" s="43"/>
      <c r="P22" s="43"/>
    </row>
    <row r="23" spans="1:17" ht="14.25" x14ac:dyDescent="0.15">
      <c r="A23" s="537"/>
      <c r="B23" s="452"/>
      <c r="C23" s="453"/>
      <c r="D23" s="454"/>
      <c r="E23" s="56"/>
      <c r="F23" s="56"/>
      <c r="G23" s="452"/>
      <c r="H23" s="56"/>
      <c r="I23" s="452"/>
      <c r="J23" s="454"/>
      <c r="K23" s="454"/>
      <c r="L23" s="43"/>
      <c r="M23" s="43"/>
      <c r="N23" s="454"/>
      <c r="O23" s="43"/>
      <c r="P23" s="43"/>
    </row>
    <row r="24" spans="1:17" ht="18" thickBot="1" x14ac:dyDescent="0.2">
      <c r="B24" s="566" t="s">
        <v>174</v>
      </c>
      <c r="C24" s="43"/>
      <c r="D24" s="43"/>
      <c r="E24" s="43"/>
      <c r="F24" s="43"/>
      <c r="G24" s="43"/>
    </row>
    <row r="25" spans="1:17" ht="33.75" customHeight="1" x14ac:dyDescent="0.15">
      <c r="B25" s="670"/>
      <c r="C25" s="641" t="s">
        <v>185</v>
      </c>
      <c r="D25" s="642"/>
      <c r="E25" s="647" t="s">
        <v>290</v>
      </c>
      <c r="F25" s="648"/>
      <c r="G25" s="647" t="s">
        <v>289</v>
      </c>
      <c r="H25" s="648"/>
      <c r="I25" s="666" t="s">
        <v>241</v>
      </c>
      <c r="J25" s="642"/>
      <c r="K25" s="666" t="s">
        <v>242</v>
      </c>
      <c r="L25" s="694"/>
    </row>
    <row r="26" spans="1:17" ht="10.5" customHeight="1" thickBot="1" x14ac:dyDescent="0.2">
      <c r="B26" s="681"/>
      <c r="C26" s="643"/>
      <c r="D26" s="644"/>
      <c r="E26" s="649"/>
      <c r="F26" s="650"/>
      <c r="G26" s="668"/>
      <c r="H26" s="669"/>
      <c r="I26" s="709"/>
      <c r="J26" s="710"/>
      <c r="K26" s="688"/>
      <c r="L26" s="689"/>
    </row>
    <row r="27" spans="1:17" ht="10.5" customHeight="1" thickTop="1" thickBot="1" x14ac:dyDescent="0.2">
      <c r="B27" s="682"/>
      <c r="C27" s="717"/>
      <c r="D27" s="708"/>
      <c r="E27" s="691"/>
      <c r="F27" s="708"/>
      <c r="G27" s="691"/>
      <c r="H27" s="708"/>
      <c r="I27" s="691"/>
      <c r="J27" s="708"/>
      <c r="K27" s="691"/>
      <c r="L27" s="692"/>
    </row>
    <row r="28" spans="1:17" ht="15" thickTop="1" thickBot="1" x14ac:dyDescent="0.2">
      <c r="B28" s="69" t="str">
        <f>data_FX10!A23</f>
        <v>Process</v>
      </c>
      <c r="C28" s="645" t="e">
        <f>data_FX10!CP23</f>
        <v>#DIV/0!</v>
      </c>
      <c r="D28" s="646"/>
      <c r="E28" s="651" t="e">
        <f>data_FX10!CQ23</f>
        <v>#DIV/0!</v>
      </c>
      <c r="F28" s="646"/>
      <c r="G28" s="651" t="e">
        <f>data_FX10!CR23</f>
        <v>#DIV/0!</v>
      </c>
      <c r="H28" s="646"/>
      <c r="I28" s="651" t="e">
        <f>data_FX10!CS23</f>
        <v>#DIV/0!</v>
      </c>
      <c r="J28" s="646"/>
      <c r="K28" s="651" t="e">
        <f>data_FX10!CT23</f>
        <v>#DIV/0!</v>
      </c>
      <c r="L28" s="690"/>
    </row>
    <row r="29" spans="1:17" ht="14.25" x14ac:dyDescent="0.15">
      <c r="L29" s="4"/>
      <c r="M29" s="693"/>
      <c r="N29" s="693"/>
      <c r="Q29" s="156" t="s">
        <v>310</v>
      </c>
    </row>
    <row r="30" spans="1:17" ht="18" customHeight="1" thickBot="1" x14ac:dyDescent="0.2">
      <c r="B30" s="566" t="s">
        <v>172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</row>
    <row r="31" spans="1:17" ht="52.5" customHeight="1" thickBot="1" x14ac:dyDescent="0.2">
      <c r="A31" s="538"/>
      <c r="B31" s="670"/>
      <c r="C31" s="678" t="s">
        <v>178</v>
      </c>
      <c r="D31" s="451" t="s">
        <v>253</v>
      </c>
      <c r="E31" s="679" t="s">
        <v>254</v>
      </c>
      <c r="F31" s="664" t="s">
        <v>179</v>
      </c>
      <c r="G31" s="448" t="s">
        <v>177</v>
      </c>
      <c r="H31" s="448" t="s">
        <v>180</v>
      </c>
      <c r="I31" s="449" t="s">
        <v>181</v>
      </c>
      <c r="J31" s="450" t="s">
        <v>258</v>
      </c>
      <c r="K31" s="664" t="s">
        <v>182</v>
      </c>
      <c r="L31" s="448" t="s">
        <v>183</v>
      </c>
      <c r="M31" s="449" t="s">
        <v>184</v>
      </c>
      <c r="N31" s="672" t="s">
        <v>259</v>
      </c>
      <c r="O31" s="686" t="s">
        <v>260</v>
      </c>
    </row>
    <row r="32" spans="1:17" ht="11.25" customHeight="1" thickBot="1" x14ac:dyDescent="0.2">
      <c r="A32" s="539"/>
      <c r="B32" s="671"/>
      <c r="C32" s="655"/>
      <c r="D32" s="506"/>
      <c r="E32" s="680"/>
      <c r="F32" s="665"/>
      <c r="G32" s="466"/>
      <c r="H32" s="467"/>
      <c r="I32" s="507"/>
      <c r="J32" s="465"/>
      <c r="K32" s="665"/>
      <c r="L32" s="466"/>
      <c r="M32" s="468"/>
      <c r="N32" s="673"/>
      <c r="O32" s="687"/>
    </row>
    <row r="33" spans="1:17" x14ac:dyDescent="0.15">
      <c r="A33" s="540"/>
      <c r="B33" s="439" t="str">
        <f>data_FX10!A3</f>
        <v>Thread 0</v>
      </c>
      <c r="C33" s="49" t="e">
        <f>data_FX10!BV3</f>
        <v>#DIV/0!</v>
      </c>
      <c r="D33" s="50" t="e">
        <f>data_FX10!BT3</f>
        <v>#DIV/0!</v>
      </c>
      <c r="E33" s="524">
        <f>data_FX10!DN3</f>
        <v>0</v>
      </c>
      <c r="F33" s="524">
        <f>data_FX10!BU3</f>
        <v>0</v>
      </c>
      <c r="G33" s="48" t="e">
        <f>data_FX10!BX3</f>
        <v>#DIV/0!</v>
      </c>
      <c r="H33" s="48" t="e">
        <f>data_FX10!BZ3</f>
        <v>#DIV/0!</v>
      </c>
      <c r="I33" s="74" t="e">
        <f>data_FX10!BY3</f>
        <v>#DIV/0!</v>
      </c>
      <c r="J33" s="117" t="e">
        <f>data_FX10!CA3</f>
        <v>#DIV/0!</v>
      </c>
      <c r="K33" s="524">
        <f>data_FX10!CB3</f>
        <v>0</v>
      </c>
      <c r="L33" s="48" t="e">
        <f>data_FX10!CC3</f>
        <v>#DIV/0!</v>
      </c>
      <c r="M33" s="88" t="e">
        <f>data_FX10!CD3</f>
        <v>#DIV/0!</v>
      </c>
      <c r="N33" s="118" t="e">
        <f>data_FX10!CV3</f>
        <v>#DIV/0!</v>
      </c>
      <c r="O33" s="119" t="e">
        <f>data_FX10!CU3</f>
        <v>#DIV/0!</v>
      </c>
    </row>
    <row r="34" spans="1:17" x14ac:dyDescent="0.15">
      <c r="A34" s="541"/>
      <c r="B34" s="57" t="str">
        <f>data_FX10!A4</f>
        <v>Thread 1</v>
      </c>
      <c r="C34" s="58" t="e">
        <f>data_FX10!BV4</f>
        <v>#DIV/0!</v>
      </c>
      <c r="D34" s="59" t="e">
        <f>data_FX10!BT4</f>
        <v>#DIV/0!</v>
      </c>
      <c r="E34" s="120">
        <f>data_FX10!DN4</f>
        <v>0</v>
      </c>
      <c r="F34" s="120">
        <f>data_FX10!BU4</f>
        <v>0</v>
      </c>
      <c r="G34" s="53" t="e">
        <f>data_FX10!BX4</f>
        <v>#DIV/0!</v>
      </c>
      <c r="H34" s="53" t="e">
        <f>data_FX10!BZ4</f>
        <v>#DIV/0!</v>
      </c>
      <c r="I34" s="77" t="e">
        <f>data_FX10!BY4</f>
        <v>#DIV/0!</v>
      </c>
      <c r="J34" s="121" t="e">
        <f>data_FX10!CA4</f>
        <v>#DIV/0!</v>
      </c>
      <c r="K34" s="120">
        <f>data_FX10!CB4</f>
        <v>0</v>
      </c>
      <c r="L34" s="53" t="e">
        <f>data_FX10!CC4</f>
        <v>#DIV/0!</v>
      </c>
      <c r="M34" s="86" t="e">
        <f>data_FX10!CD4</f>
        <v>#DIV/0!</v>
      </c>
      <c r="N34" s="122" t="e">
        <f>data_FX10!CV4</f>
        <v>#DIV/0!</v>
      </c>
      <c r="O34" s="123" t="e">
        <f>data_FX10!CU4</f>
        <v>#DIV/0!</v>
      </c>
    </row>
    <row r="35" spans="1:17" ht="14.25" x14ac:dyDescent="0.15">
      <c r="A35" s="541"/>
      <c r="B35" s="57" t="str">
        <f>data_FX10!A5</f>
        <v>Thread 2</v>
      </c>
      <c r="C35" s="58" t="e">
        <f>data_FX10!BV5</f>
        <v>#DIV/0!</v>
      </c>
      <c r="D35" s="59" t="e">
        <f>data_FX10!BT5</f>
        <v>#DIV/0!</v>
      </c>
      <c r="E35" s="120">
        <f>data_FX10!DN5</f>
        <v>0</v>
      </c>
      <c r="F35" s="120">
        <f>data_FX10!BU5</f>
        <v>0</v>
      </c>
      <c r="G35" s="53" t="e">
        <f>data_FX10!BX5</f>
        <v>#DIV/0!</v>
      </c>
      <c r="H35" s="53" t="e">
        <f>data_FX10!BZ5</f>
        <v>#DIV/0!</v>
      </c>
      <c r="I35" s="77" t="e">
        <f>data_FX10!BY5</f>
        <v>#DIV/0!</v>
      </c>
      <c r="J35" s="121" t="e">
        <f>data_FX10!CA5</f>
        <v>#DIV/0!</v>
      </c>
      <c r="K35" s="120">
        <f>data_FX10!CB5</f>
        <v>0</v>
      </c>
      <c r="L35" s="53" t="e">
        <f>data_FX10!CC5</f>
        <v>#DIV/0!</v>
      </c>
      <c r="M35" s="86" t="e">
        <f>data_FX10!CD5</f>
        <v>#DIV/0!</v>
      </c>
      <c r="N35" s="122" t="e">
        <f>data_FX10!CV5</f>
        <v>#DIV/0!</v>
      </c>
      <c r="O35" s="123" t="e">
        <f>data_FX10!CU5</f>
        <v>#DIV/0!</v>
      </c>
      <c r="Q35" s="156" t="s">
        <v>297</v>
      </c>
    </row>
    <row r="36" spans="1:17" x14ac:dyDescent="0.15">
      <c r="A36" s="541"/>
      <c r="B36" s="57" t="str">
        <f>data_FX10!A6</f>
        <v>Thread 3</v>
      </c>
      <c r="C36" s="58" t="e">
        <f>data_FX10!BV6</f>
        <v>#DIV/0!</v>
      </c>
      <c r="D36" s="59" t="e">
        <f>data_FX10!BT6</f>
        <v>#DIV/0!</v>
      </c>
      <c r="E36" s="120">
        <f>data_FX10!DN6</f>
        <v>0</v>
      </c>
      <c r="F36" s="120">
        <f>data_FX10!BU6</f>
        <v>0</v>
      </c>
      <c r="G36" s="53" t="e">
        <f>data_FX10!BX6</f>
        <v>#DIV/0!</v>
      </c>
      <c r="H36" s="53" t="e">
        <f>data_FX10!BZ6</f>
        <v>#DIV/0!</v>
      </c>
      <c r="I36" s="77" t="e">
        <f>data_FX10!BY6</f>
        <v>#DIV/0!</v>
      </c>
      <c r="J36" s="121" t="e">
        <f>data_FX10!CA6</f>
        <v>#DIV/0!</v>
      </c>
      <c r="K36" s="120">
        <f>data_FX10!CB6</f>
        <v>0</v>
      </c>
      <c r="L36" s="53" t="e">
        <f>data_FX10!CC6</f>
        <v>#DIV/0!</v>
      </c>
      <c r="M36" s="86" t="e">
        <f>data_FX10!CD6</f>
        <v>#DIV/0!</v>
      </c>
      <c r="N36" s="122" t="e">
        <f>data_FX10!CV6</f>
        <v>#DIV/0!</v>
      </c>
      <c r="O36" s="123" t="e">
        <f>data_FX10!CU6</f>
        <v>#DIV/0!</v>
      </c>
    </row>
    <row r="37" spans="1:17" x14ac:dyDescent="0.15">
      <c r="A37" s="541"/>
      <c r="B37" s="57" t="str">
        <f>data_FX10!A7</f>
        <v>Thread 4</v>
      </c>
      <c r="C37" s="58" t="e">
        <f>data_FX10!BV7</f>
        <v>#DIV/0!</v>
      </c>
      <c r="D37" s="59" t="e">
        <f>data_FX10!BT7</f>
        <v>#DIV/0!</v>
      </c>
      <c r="E37" s="120">
        <f>data_FX10!DN7</f>
        <v>0</v>
      </c>
      <c r="F37" s="120">
        <f>data_FX10!BU7</f>
        <v>0</v>
      </c>
      <c r="G37" s="53" t="e">
        <f>data_FX10!BX7</f>
        <v>#DIV/0!</v>
      </c>
      <c r="H37" s="53" t="e">
        <f>data_FX10!BZ7</f>
        <v>#DIV/0!</v>
      </c>
      <c r="I37" s="77" t="e">
        <f>data_FX10!BY7</f>
        <v>#DIV/0!</v>
      </c>
      <c r="J37" s="121" t="e">
        <f>data_FX10!CA7</f>
        <v>#DIV/0!</v>
      </c>
      <c r="K37" s="120">
        <f>data_FX10!CB7</f>
        <v>0</v>
      </c>
      <c r="L37" s="53" t="e">
        <f>data_FX10!CC7</f>
        <v>#DIV/0!</v>
      </c>
      <c r="M37" s="86" t="e">
        <f>data_FX10!CD7</f>
        <v>#DIV/0!</v>
      </c>
      <c r="N37" s="122" t="e">
        <f>data_FX10!CV7</f>
        <v>#DIV/0!</v>
      </c>
      <c r="O37" s="123" t="e">
        <f>data_FX10!CU7</f>
        <v>#DIV/0!</v>
      </c>
    </row>
    <row r="38" spans="1:17" x14ac:dyDescent="0.15">
      <c r="A38" s="541"/>
      <c r="B38" s="57" t="str">
        <f>data_FX10!A8</f>
        <v>Thread 5</v>
      </c>
      <c r="C38" s="58" t="e">
        <f>data_FX10!BV8</f>
        <v>#DIV/0!</v>
      </c>
      <c r="D38" s="59" t="e">
        <f>data_FX10!BT8</f>
        <v>#DIV/0!</v>
      </c>
      <c r="E38" s="120">
        <f>data_FX10!DN8</f>
        <v>0</v>
      </c>
      <c r="F38" s="120">
        <f>data_FX10!BU8</f>
        <v>0</v>
      </c>
      <c r="G38" s="53" t="e">
        <f>data_FX10!BX8</f>
        <v>#DIV/0!</v>
      </c>
      <c r="H38" s="53" t="e">
        <f>data_FX10!BZ8</f>
        <v>#DIV/0!</v>
      </c>
      <c r="I38" s="77" t="e">
        <f>data_FX10!BY8</f>
        <v>#DIV/0!</v>
      </c>
      <c r="J38" s="121" t="e">
        <f>data_FX10!CA8</f>
        <v>#DIV/0!</v>
      </c>
      <c r="K38" s="120">
        <f>data_FX10!CB8</f>
        <v>0</v>
      </c>
      <c r="L38" s="53" t="e">
        <f>data_FX10!CC8</f>
        <v>#DIV/0!</v>
      </c>
      <c r="M38" s="86" t="e">
        <f>data_FX10!CD8</f>
        <v>#DIV/0!</v>
      </c>
      <c r="N38" s="122" t="e">
        <f>data_FX10!CV8</f>
        <v>#DIV/0!</v>
      </c>
      <c r="O38" s="123" t="e">
        <f>data_FX10!CU8</f>
        <v>#DIV/0!</v>
      </c>
    </row>
    <row r="39" spans="1:17" x14ac:dyDescent="0.15">
      <c r="A39" s="541"/>
      <c r="B39" s="57" t="str">
        <f>data_FX10!A9</f>
        <v>Thread 6</v>
      </c>
      <c r="C39" s="58" t="e">
        <f>data_FX10!BV9</f>
        <v>#DIV/0!</v>
      </c>
      <c r="D39" s="59" t="e">
        <f>data_FX10!BT9</f>
        <v>#DIV/0!</v>
      </c>
      <c r="E39" s="120">
        <f>data_FX10!DN9</f>
        <v>0</v>
      </c>
      <c r="F39" s="120">
        <f>data_FX10!BU9</f>
        <v>0</v>
      </c>
      <c r="G39" s="53" t="e">
        <f>data_FX10!BX9</f>
        <v>#DIV/0!</v>
      </c>
      <c r="H39" s="53" t="e">
        <f>data_FX10!BZ9</f>
        <v>#DIV/0!</v>
      </c>
      <c r="I39" s="77" t="e">
        <f>data_FX10!BY9</f>
        <v>#DIV/0!</v>
      </c>
      <c r="J39" s="121" t="e">
        <f>data_FX10!CA9</f>
        <v>#DIV/0!</v>
      </c>
      <c r="K39" s="120">
        <f>data_FX10!CB9</f>
        <v>0</v>
      </c>
      <c r="L39" s="53" t="e">
        <f>data_FX10!CC9</f>
        <v>#DIV/0!</v>
      </c>
      <c r="M39" s="86" t="e">
        <f>data_FX10!CD9</f>
        <v>#DIV/0!</v>
      </c>
      <c r="N39" s="122" t="e">
        <f>data_FX10!CV9</f>
        <v>#DIV/0!</v>
      </c>
      <c r="O39" s="123" t="e">
        <f>data_FX10!CU9</f>
        <v>#DIV/0!</v>
      </c>
    </row>
    <row r="40" spans="1:17" x14ac:dyDescent="0.15">
      <c r="A40" s="540"/>
      <c r="B40" s="57" t="str">
        <f>data_FX10!A10</f>
        <v>Thread 7</v>
      </c>
      <c r="C40" s="58" t="e">
        <f>data_FX10!BV10</f>
        <v>#DIV/0!</v>
      </c>
      <c r="D40" s="59" t="e">
        <f>data_FX10!BT10</f>
        <v>#DIV/0!</v>
      </c>
      <c r="E40" s="120">
        <f>data_FX10!DN10</f>
        <v>0</v>
      </c>
      <c r="F40" s="120">
        <f>data_FX10!BU10</f>
        <v>0</v>
      </c>
      <c r="G40" s="53" t="e">
        <f>data_FX10!BX10</f>
        <v>#DIV/0!</v>
      </c>
      <c r="H40" s="53" t="e">
        <f>data_FX10!BZ10</f>
        <v>#DIV/0!</v>
      </c>
      <c r="I40" s="77" t="e">
        <f>data_FX10!BY10</f>
        <v>#DIV/0!</v>
      </c>
      <c r="J40" s="121" t="e">
        <f>data_FX10!CA10</f>
        <v>#DIV/0!</v>
      </c>
      <c r="K40" s="120">
        <f>data_FX10!CB10</f>
        <v>0</v>
      </c>
      <c r="L40" s="53" t="e">
        <f>data_FX10!CC10</f>
        <v>#DIV/0!</v>
      </c>
      <c r="M40" s="86" t="e">
        <f>data_FX10!CD10</f>
        <v>#DIV/0!</v>
      </c>
      <c r="N40" s="122" t="e">
        <f>data_FX10!CV10</f>
        <v>#DIV/0!</v>
      </c>
      <c r="O40" s="123" t="e">
        <f>data_FX10!CU10</f>
        <v>#DIV/0!</v>
      </c>
    </row>
    <row r="41" spans="1:17" x14ac:dyDescent="0.15">
      <c r="A41" s="540"/>
      <c r="B41" s="439" t="str">
        <f>data_FX10!A11</f>
        <v>Thread 8</v>
      </c>
      <c r="C41" s="49" t="e">
        <f>data_FX10!BV11</f>
        <v>#DIV/0!</v>
      </c>
      <c r="D41" s="50" t="e">
        <f>data_FX10!BT11</f>
        <v>#DIV/0!</v>
      </c>
      <c r="E41" s="120">
        <f>data_FX10!DN11</f>
        <v>0</v>
      </c>
      <c r="F41" s="120">
        <f>data_FX10!BU11</f>
        <v>0</v>
      </c>
      <c r="G41" s="48" t="e">
        <f>data_FX10!BX11</f>
        <v>#DIV/0!</v>
      </c>
      <c r="H41" s="48" t="e">
        <f>data_FX10!BZ11</f>
        <v>#DIV/0!</v>
      </c>
      <c r="I41" s="74" t="e">
        <f>data_FX10!BY11</f>
        <v>#DIV/0!</v>
      </c>
      <c r="J41" s="117" t="e">
        <f>data_FX10!CA11</f>
        <v>#DIV/0!</v>
      </c>
      <c r="K41" s="120">
        <f>data_FX10!CB11</f>
        <v>0</v>
      </c>
      <c r="L41" s="48" t="e">
        <f>data_FX10!CC11</f>
        <v>#DIV/0!</v>
      </c>
      <c r="M41" s="88" t="e">
        <f>data_FX10!CD11</f>
        <v>#DIV/0!</v>
      </c>
      <c r="N41" s="118" t="e">
        <f>data_FX10!CV11</f>
        <v>#DIV/0!</v>
      </c>
      <c r="O41" s="119" t="e">
        <f>data_FX10!CU11</f>
        <v>#DIV/0!</v>
      </c>
    </row>
    <row r="42" spans="1:17" x14ac:dyDescent="0.15">
      <c r="A42" s="541"/>
      <c r="B42" s="57" t="str">
        <f>data_FX10!A12</f>
        <v>Thread 9</v>
      </c>
      <c r="C42" s="58" t="e">
        <f>data_FX10!BV12</f>
        <v>#DIV/0!</v>
      </c>
      <c r="D42" s="59" t="e">
        <f>data_FX10!BT12</f>
        <v>#DIV/0!</v>
      </c>
      <c r="E42" s="120">
        <f>data_FX10!DN12</f>
        <v>0</v>
      </c>
      <c r="F42" s="120">
        <f>data_FX10!BU12</f>
        <v>0</v>
      </c>
      <c r="G42" s="53" t="e">
        <f>data_FX10!BX12</f>
        <v>#DIV/0!</v>
      </c>
      <c r="H42" s="53" t="e">
        <f>data_FX10!BZ12</f>
        <v>#DIV/0!</v>
      </c>
      <c r="I42" s="77" t="e">
        <f>data_FX10!BY12</f>
        <v>#DIV/0!</v>
      </c>
      <c r="J42" s="121" t="e">
        <f>data_FX10!CA12</f>
        <v>#DIV/0!</v>
      </c>
      <c r="K42" s="120">
        <f>data_FX10!CB12</f>
        <v>0</v>
      </c>
      <c r="L42" s="53" t="e">
        <f>data_FX10!CC12</f>
        <v>#DIV/0!</v>
      </c>
      <c r="M42" s="86" t="e">
        <f>data_FX10!CD12</f>
        <v>#DIV/0!</v>
      </c>
      <c r="N42" s="122" t="e">
        <f>data_FX10!CV12</f>
        <v>#DIV/0!</v>
      </c>
      <c r="O42" s="123" t="e">
        <f>data_FX10!CU12</f>
        <v>#DIV/0!</v>
      </c>
    </row>
    <row r="43" spans="1:17" ht="14.25" x14ac:dyDescent="0.15">
      <c r="A43" s="541"/>
      <c r="B43" s="57" t="str">
        <f>data_FX10!A13</f>
        <v>Thread 10</v>
      </c>
      <c r="C43" s="58" t="e">
        <f>data_FX10!BV13</f>
        <v>#DIV/0!</v>
      </c>
      <c r="D43" s="59" t="e">
        <f>data_FX10!BT13</f>
        <v>#DIV/0!</v>
      </c>
      <c r="E43" s="120">
        <f>data_FX10!DN13</f>
        <v>0</v>
      </c>
      <c r="F43" s="120">
        <f>data_FX10!BU13</f>
        <v>0</v>
      </c>
      <c r="G43" s="53" t="e">
        <f>data_FX10!BX13</f>
        <v>#DIV/0!</v>
      </c>
      <c r="H43" s="53" t="e">
        <f>data_FX10!BZ13</f>
        <v>#DIV/0!</v>
      </c>
      <c r="I43" s="77" t="e">
        <f>data_FX10!BY13</f>
        <v>#DIV/0!</v>
      </c>
      <c r="J43" s="121" t="e">
        <f>data_FX10!CA13</f>
        <v>#DIV/0!</v>
      </c>
      <c r="K43" s="120">
        <f>data_FX10!CB13</f>
        <v>0</v>
      </c>
      <c r="L43" s="53" t="e">
        <f>data_FX10!CC13</f>
        <v>#DIV/0!</v>
      </c>
      <c r="M43" s="86" t="e">
        <f>data_FX10!CD13</f>
        <v>#DIV/0!</v>
      </c>
      <c r="N43" s="122" t="e">
        <f>data_FX10!CV13</f>
        <v>#DIV/0!</v>
      </c>
      <c r="O43" s="123" t="e">
        <f>data_FX10!CU13</f>
        <v>#DIV/0!</v>
      </c>
      <c r="Q43" s="156" t="s">
        <v>306</v>
      </c>
    </row>
    <row r="44" spans="1:17" x14ac:dyDescent="0.15">
      <c r="A44" s="541"/>
      <c r="B44" s="57" t="str">
        <f>data_FX10!A14</f>
        <v>Thread 11</v>
      </c>
      <c r="C44" s="58" t="e">
        <f>data_FX10!BV14</f>
        <v>#DIV/0!</v>
      </c>
      <c r="D44" s="59" t="e">
        <f>data_FX10!BT14</f>
        <v>#DIV/0!</v>
      </c>
      <c r="E44" s="120">
        <f>data_FX10!DN14</f>
        <v>0</v>
      </c>
      <c r="F44" s="120">
        <f>data_FX10!BU14</f>
        <v>0</v>
      </c>
      <c r="G44" s="53" t="e">
        <f>data_FX10!BX14</f>
        <v>#DIV/0!</v>
      </c>
      <c r="H44" s="53" t="e">
        <f>data_FX10!BZ14</f>
        <v>#DIV/0!</v>
      </c>
      <c r="I44" s="77" t="e">
        <f>data_FX10!BY14</f>
        <v>#DIV/0!</v>
      </c>
      <c r="J44" s="121" t="e">
        <f>data_FX10!CA14</f>
        <v>#DIV/0!</v>
      </c>
      <c r="K44" s="120">
        <f>data_FX10!CB14</f>
        <v>0</v>
      </c>
      <c r="L44" s="53" t="e">
        <f>data_FX10!CC14</f>
        <v>#DIV/0!</v>
      </c>
      <c r="M44" s="86" t="e">
        <f>data_FX10!CD14</f>
        <v>#DIV/0!</v>
      </c>
      <c r="N44" s="122" t="e">
        <f>data_FX10!CV14</f>
        <v>#DIV/0!</v>
      </c>
      <c r="O44" s="123" t="e">
        <f>data_FX10!CU14</f>
        <v>#DIV/0!</v>
      </c>
    </row>
    <row r="45" spans="1:17" x14ac:dyDescent="0.15">
      <c r="A45" s="541"/>
      <c r="B45" s="57" t="str">
        <f>data_FX10!A15</f>
        <v>Thread 12</v>
      </c>
      <c r="C45" s="58" t="e">
        <f>data_FX10!BV15</f>
        <v>#DIV/0!</v>
      </c>
      <c r="D45" s="59" t="e">
        <f>data_FX10!BT15</f>
        <v>#DIV/0!</v>
      </c>
      <c r="E45" s="120">
        <f>data_FX10!DN15</f>
        <v>0</v>
      </c>
      <c r="F45" s="120">
        <f>data_FX10!BU15</f>
        <v>0</v>
      </c>
      <c r="G45" s="53" t="e">
        <f>data_FX10!BX15</f>
        <v>#DIV/0!</v>
      </c>
      <c r="H45" s="53" t="e">
        <f>data_FX10!BZ15</f>
        <v>#DIV/0!</v>
      </c>
      <c r="I45" s="77" t="e">
        <f>data_FX10!BY15</f>
        <v>#DIV/0!</v>
      </c>
      <c r="J45" s="121" t="e">
        <f>data_FX10!CA15</f>
        <v>#DIV/0!</v>
      </c>
      <c r="K45" s="120">
        <f>data_FX10!CB15</f>
        <v>0</v>
      </c>
      <c r="L45" s="53" t="e">
        <f>data_FX10!CC15</f>
        <v>#DIV/0!</v>
      </c>
      <c r="M45" s="86" t="e">
        <f>data_FX10!CD15</f>
        <v>#DIV/0!</v>
      </c>
      <c r="N45" s="122" t="e">
        <f>data_FX10!CV15</f>
        <v>#DIV/0!</v>
      </c>
      <c r="O45" s="123" t="e">
        <f>data_FX10!CU15</f>
        <v>#DIV/0!</v>
      </c>
    </row>
    <row r="46" spans="1:17" x14ac:dyDescent="0.15">
      <c r="A46" s="541"/>
      <c r="B46" s="57" t="str">
        <f>data_FX10!A16</f>
        <v>Thread 13</v>
      </c>
      <c r="C46" s="58" t="e">
        <f>data_FX10!BV16</f>
        <v>#DIV/0!</v>
      </c>
      <c r="D46" s="59" t="e">
        <f>data_FX10!BT16</f>
        <v>#DIV/0!</v>
      </c>
      <c r="E46" s="120">
        <f>data_FX10!DN16</f>
        <v>0</v>
      </c>
      <c r="F46" s="120">
        <f>data_FX10!BU16</f>
        <v>0</v>
      </c>
      <c r="G46" s="53" t="e">
        <f>data_FX10!BX16</f>
        <v>#DIV/0!</v>
      </c>
      <c r="H46" s="53" t="e">
        <f>data_FX10!BZ16</f>
        <v>#DIV/0!</v>
      </c>
      <c r="I46" s="77" t="e">
        <f>data_FX10!BY16</f>
        <v>#DIV/0!</v>
      </c>
      <c r="J46" s="121" t="e">
        <f>data_FX10!CA16</f>
        <v>#DIV/0!</v>
      </c>
      <c r="K46" s="120">
        <f>data_FX10!CB16</f>
        <v>0</v>
      </c>
      <c r="L46" s="53" t="e">
        <f>data_FX10!CC16</f>
        <v>#DIV/0!</v>
      </c>
      <c r="M46" s="86" t="e">
        <f>data_FX10!CD16</f>
        <v>#DIV/0!</v>
      </c>
      <c r="N46" s="122" t="e">
        <f>data_FX10!CV16</f>
        <v>#DIV/0!</v>
      </c>
      <c r="O46" s="123" t="e">
        <f>data_FX10!CU16</f>
        <v>#DIV/0!</v>
      </c>
    </row>
    <row r="47" spans="1:17" x14ac:dyDescent="0.15">
      <c r="A47" s="541"/>
      <c r="B47" s="57" t="str">
        <f>data_FX10!A17</f>
        <v>Thread 14</v>
      </c>
      <c r="C47" s="58" t="e">
        <f>data_FX10!BV17</f>
        <v>#DIV/0!</v>
      </c>
      <c r="D47" s="59" t="e">
        <f>data_FX10!BT17</f>
        <v>#DIV/0!</v>
      </c>
      <c r="E47" s="120">
        <f>data_FX10!DN17</f>
        <v>0</v>
      </c>
      <c r="F47" s="120">
        <f>data_FX10!BU17</f>
        <v>0</v>
      </c>
      <c r="G47" s="53" t="e">
        <f>data_FX10!BX17</f>
        <v>#DIV/0!</v>
      </c>
      <c r="H47" s="53" t="e">
        <f>data_FX10!BZ17</f>
        <v>#DIV/0!</v>
      </c>
      <c r="I47" s="77" t="e">
        <f>data_FX10!BY17</f>
        <v>#DIV/0!</v>
      </c>
      <c r="J47" s="121" t="e">
        <f>data_FX10!CA17</f>
        <v>#DIV/0!</v>
      </c>
      <c r="K47" s="120">
        <f>data_FX10!CB17</f>
        <v>0</v>
      </c>
      <c r="L47" s="53" t="e">
        <f>data_FX10!CC17</f>
        <v>#DIV/0!</v>
      </c>
      <c r="M47" s="86" t="e">
        <f>data_FX10!CD17</f>
        <v>#DIV/0!</v>
      </c>
      <c r="N47" s="122" t="e">
        <f>data_FX10!CV17</f>
        <v>#DIV/0!</v>
      </c>
      <c r="O47" s="123" t="e">
        <f>data_FX10!CU17</f>
        <v>#DIV/0!</v>
      </c>
    </row>
    <row r="48" spans="1:17" ht="14.25" thickBot="1" x14ac:dyDescent="0.2">
      <c r="A48" s="540"/>
      <c r="B48" s="63" t="str">
        <f>data_FX10!A18</f>
        <v>Thread 15</v>
      </c>
      <c r="C48" s="49" t="e">
        <f>data_FX10!BV18</f>
        <v>#DIV/0!</v>
      </c>
      <c r="D48" s="50" t="e">
        <f>data_FX10!BT18</f>
        <v>#DIV/0!</v>
      </c>
      <c r="E48" s="124">
        <f>data_FX10!DN18</f>
        <v>0</v>
      </c>
      <c r="F48" s="124">
        <f>data_FX10!BU18</f>
        <v>0</v>
      </c>
      <c r="G48" s="48" t="e">
        <f>data_FX10!BX18</f>
        <v>#DIV/0!</v>
      </c>
      <c r="H48" s="48" t="e">
        <f>data_FX10!BZ18</f>
        <v>#DIV/0!</v>
      </c>
      <c r="I48" s="74" t="e">
        <f>data_FX10!BY18</f>
        <v>#DIV/0!</v>
      </c>
      <c r="J48" s="117" t="e">
        <f>data_FX10!CA18</f>
        <v>#DIV/0!</v>
      </c>
      <c r="K48" s="124">
        <f>data_FX10!CB18</f>
        <v>0</v>
      </c>
      <c r="L48" s="48" t="e">
        <f>data_FX10!CC18</f>
        <v>#DIV/0!</v>
      </c>
      <c r="M48" s="88" t="e">
        <f>data_FX10!CD18</f>
        <v>#DIV/0!</v>
      </c>
      <c r="N48" s="118" t="e">
        <f>data_FX10!CV18</f>
        <v>#DIV/0!</v>
      </c>
      <c r="O48" s="119" t="e">
        <f>data_FX10!CU18</f>
        <v>#DIV/0!</v>
      </c>
    </row>
    <row r="49" spans="1:18" ht="15" thickTop="1" thickBot="1" x14ac:dyDescent="0.2">
      <c r="A49" s="542"/>
      <c r="B49" s="69" t="str">
        <f>data_FX10!A23</f>
        <v>Process</v>
      </c>
      <c r="C49" s="70" t="e">
        <f>data_FX10!BV23</f>
        <v>#DIV/0!</v>
      </c>
      <c r="D49" s="65" t="e">
        <f>data_FX10!BT23</f>
        <v>#DIV/0!</v>
      </c>
      <c r="E49" s="125">
        <f>data_FX10!DN23</f>
        <v>0</v>
      </c>
      <c r="F49" s="126">
        <f>data_FX10!BU23</f>
        <v>0</v>
      </c>
      <c r="G49" s="81" t="e">
        <f>data_FX10!BX23</f>
        <v>#DIV/0!</v>
      </c>
      <c r="H49" s="81" t="e">
        <f>data_FX10!BZ23</f>
        <v>#DIV/0!</v>
      </c>
      <c r="I49" s="82" t="e">
        <f>data_FX10!BY23</f>
        <v>#DIV/0!</v>
      </c>
      <c r="J49" s="127" t="e">
        <f>data_FX10!CA23</f>
        <v>#DIV/0!</v>
      </c>
      <c r="K49" s="126">
        <f>data_FX10!CB23</f>
        <v>0</v>
      </c>
      <c r="L49" s="81" t="e">
        <f>data_FX10!CC23</f>
        <v>#DIV/0!</v>
      </c>
      <c r="M49" s="91" t="e">
        <f>data_FX10!CD23</f>
        <v>#DIV/0!</v>
      </c>
      <c r="N49" s="129" t="e">
        <f>data_FX10!CV23</f>
        <v>#DIV/0!</v>
      </c>
      <c r="O49" s="130" t="e">
        <f>data_FX10!CU23</f>
        <v>#DIV/0!</v>
      </c>
    </row>
    <row r="51" spans="1:18" x14ac:dyDescent="0.15">
      <c r="B51" s="43"/>
      <c r="C51" s="43"/>
      <c r="D51" s="43"/>
      <c r="E51" s="43"/>
      <c r="F51" s="43"/>
      <c r="G51" s="71"/>
      <c r="H51" s="43"/>
      <c r="I51" s="43"/>
      <c r="J51" s="43"/>
      <c r="K51" s="43"/>
      <c r="L51" s="43"/>
      <c r="M51" s="43"/>
      <c r="N51" s="43"/>
      <c r="O51" s="43"/>
      <c r="P51" s="43"/>
    </row>
    <row r="52" spans="1:18" ht="18" customHeight="1" thickBot="1" x14ac:dyDescent="0.2">
      <c r="B52" s="566" t="s">
        <v>330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40" t="s">
        <v>331</v>
      </c>
    </row>
    <row r="53" spans="1:18" ht="37.5" customHeight="1" thickBot="1" x14ac:dyDescent="0.2">
      <c r="A53" s="543"/>
      <c r="B53" s="489"/>
      <c r="C53" s="713" t="s">
        <v>271</v>
      </c>
      <c r="D53" s="653"/>
      <c r="E53" s="653"/>
      <c r="F53" s="653"/>
      <c r="G53" s="653"/>
      <c r="H53" s="654"/>
      <c r="I53" s="714" t="s">
        <v>272</v>
      </c>
      <c r="J53" s="715"/>
      <c r="K53" s="715"/>
      <c r="L53" s="716"/>
      <c r="M53" s="405" t="s">
        <v>273</v>
      </c>
      <c r="N53" s="406" t="s">
        <v>274</v>
      </c>
      <c r="O53" s="407" t="s">
        <v>275</v>
      </c>
      <c r="P53" s="490" t="s">
        <v>276</v>
      </c>
      <c r="Q53" s="72"/>
      <c r="R53" s="1"/>
    </row>
    <row r="54" spans="1:18" ht="15" thickTop="1" thickBot="1" x14ac:dyDescent="0.2">
      <c r="A54" s="542"/>
      <c r="B54" s="79" t="str">
        <f>data_FX10!A23</f>
        <v>Process</v>
      </c>
      <c r="C54" s="658" t="e">
        <f>SUM(C73:H73)</f>
        <v>#DIV/0!</v>
      </c>
      <c r="D54" s="659"/>
      <c r="E54" s="659"/>
      <c r="F54" s="659"/>
      <c r="G54" s="659"/>
      <c r="H54" s="660"/>
      <c r="I54" s="661" t="e">
        <f>SUM(I73:L73)</f>
        <v>#DIV/0!</v>
      </c>
      <c r="J54" s="662"/>
      <c r="K54" s="662"/>
      <c r="L54" s="663"/>
      <c r="M54" s="80" t="e">
        <f>M73</f>
        <v>#DIV/0!</v>
      </c>
      <c r="N54" s="80" t="e">
        <f>N73</f>
        <v>#DIV/0!</v>
      </c>
      <c r="O54" s="80" t="e">
        <f>O73</f>
        <v>#DIV/0!</v>
      </c>
      <c r="P54" s="83" t="e">
        <f>SUM(C54:O54)</f>
        <v>#DIV/0!</v>
      </c>
      <c r="Q54" s="72"/>
      <c r="R54" s="1"/>
    </row>
    <row r="55" spans="1:18" ht="52.5" customHeight="1" thickBot="1" x14ac:dyDescent="0.2">
      <c r="A55" s="544"/>
      <c r="B55" s="670"/>
      <c r="C55" s="425" t="s">
        <v>277</v>
      </c>
      <c r="D55" s="423" t="s">
        <v>278</v>
      </c>
      <c r="E55" s="423" t="s">
        <v>279</v>
      </c>
      <c r="F55" s="423" t="s">
        <v>280</v>
      </c>
      <c r="G55" s="423" t="s">
        <v>281</v>
      </c>
      <c r="H55" s="423" t="s">
        <v>282</v>
      </c>
      <c r="I55" s="426" t="s">
        <v>283</v>
      </c>
      <c r="J55" s="427" t="s">
        <v>284</v>
      </c>
      <c r="K55" s="427" t="s">
        <v>285</v>
      </c>
      <c r="L55" s="428" t="s">
        <v>286</v>
      </c>
      <c r="M55" s="405" t="s">
        <v>273</v>
      </c>
      <c r="N55" s="406" t="s">
        <v>274</v>
      </c>
      <c r="O55" s="407" t="s">
        <v>275</v>
      </c>
      <c r="P55" s="711" t="s">
        <v>276</v>
      </c>
      <c r="Q55" s="72"/>
      <c r="R55" s="1"/>
    </row>
    <row r="56" spans="1:18" ht="11.25" customHeight="1" thickBot="1" x14ac:dyDescent="0.2">
      <c r="A56" s="545"/>
      <c r="B56" s="671"/>
      <c r="C56" s="429"/>
      <c r="D56" s="430"/>
      <c r="E56" s="458"/>
      <c r="F56" s="431"/>
      <c r="G56" s="432"/>
      <c r="H56" s="509"/>
      <c r="I56" s="433"/>
      <c r="J56" s="434"/>
      <c r="K56" s="435"/>
      <c r="L56" s="436"/>
      <c r="M56" s="508"/>
      <c r="N56" s="424"/>
      <c r="O56" s="457"/>
      <c r="P56" s="712"/>
      <c r="Q56" s="72"/>
      <c r="R56" s="1"/>
    </row>
    <row r="57" spans="1:18" ht="15" customHeight="1" x14ac:dyDescent="0.15">
      <c r="A57" s="546"/>
      <c r="B57" s="134" t="str">
        <f>data_FX10!A3</f>
        <v>Thread 0</v>
      </c>
      <c r="C57" s="87" t="e">
        <f>data_FX10!DO3</f>
        <v>#DIV/0!</v>
      </c>
      <c r="D57" s="48" t="e">
        <f>data_FX10!DP3</f>
        <v>#DIV/0!</v>
      </c>
      <c r="E57" s="48" t="e">
        <f>data_FX10!DQ3</f>
        <v>#DIV/0!</v>
      </c>
      <c r="F57" s="48" t="e">
        <f>data_FX10!DR3</f>
        <v>#DIV/0!</v>
      </c>
      <c r="G57" s="48" t="e">
        <f>data_FX10!DS3</f>
        <v>#DIV/0!</v>
      </c>
      <c r="H57" s="88" t="e">
        <f>data_FX10!DT3</f>
        <v>#DIV/0!</v>
      </c>
      <c r="I57" s="87" t="e">
        <f>data_FX10!DU3</f>
        <v>#DIV/0!</v>
      </c>
      <c r="J57" s="48" t="e">
        <f>data_FX10!DV3</f>
        <v>#DIV/0!</v>
      </c>
      <c r="K57" s="48" t="e">
        <f>data_FX10!DW3</f>
        <v>#DIV/0!</v>
      </c>
      <c r="L57" s="88" t="e">
        <f>data_FX10!DX3</f>
        <v>#DIV/0!</v>
      </c>
      <c r="M57" s="73" t="e">
        <f>data_FX10!DY3</f>
        <v>#DIV/0!</v>
      </c>
      <c r="N57" s="48" t="e">
        <f>data_FX10!DZ3</f>
        <v>#DIV/0!</v>
      </c>
      <c r="O57" s="74" t="e">
        <f>data_FX10!EA3</f>
        <v>#DIV/0!</v>
      </c>
      <c r="P57" s="75" t="e">
        <f t="shared" ref="P57:P64" si="0">SUM(C57:O57)</f>
        <v>#DIV/0!</v>
      </c>
      <c r="Q57" s="72"/>
      <c r="R57" s="1"/>
    </row>
    <row r="58" spans="1:18" x14ac:dyDescent="0.15">
      <c r="A58" s="547"/>
      <c r="B58" s="84" t="str">
        <f>data_FX10!A4</f>
        <v>Thread 1</v>
      </c>
      <c r="C58" s="85" t="e">
        <f>data_FX10!DO4</f>
        <v>#DIV/0!</v>
      </c>
      <c r="D58" s="53" t="e">
        <f>data_FX10!DP4</f>
        <v>#DIV/0!</v>
      </c>
      <c r="E58" s="53" t="e">
        <f>data_FX10!DQ4</f>
        <v>#DIV/0!</v>
      </c>
      <c r="F58" s="53" t="e">
        <f>data_FX10!DR4</f>
        <v>#DIV/0!</v>
      </c>
      <c r="G58" s="53" t="e">
        <f>data_FX10!DS4</f>
        <v>#DIV/0!</v>
      </c>
      <c r="H58" s="86" t="e">
        <f>data_FX10!DT4</f>
        <v>#DIV/0!</v>
      </c>
      <c r="I58" s="85" t="e">
        <f>data_FX10!DU4</f>
        <v>#DIV/0!</v>
      </c>
      <c r="J58" s="53" t="e">
        <f>data_FX10!DV4</f>
        <v>#DIV/0!</v>
      </c>
      <c r="K58" s="53" t="e">
        <f>data_FX10!DW4</f>
        <v>#DIV/0!</v>
      </c>
      <c r="L58" s="86" t="e">
        <f>data_FX10!DX4</f>
        <v>#DIV/0!</v>
      </c>
      <c r="M58" s="76" t="e">
        <f>data_FX10!DY4</f>
        <v>#DIV/0!</v>
      </c>
      <c r="N58" s="53" t="e">
        <f>data_FX10!DZ4</f>
        <v>#DIV/0!</v>
      </c>
      <c r="O58" s="77" t="e">
        <f>data_FX10!EA4</f>
        <v>#DIV/0!</v>
      </c>
      <c r="P58" s="78" t="e">
        <f t="shared" si="0"/>
        <v>#DIV/0!</v>
      </c>
      <c r="R58" s="1"/>
    </row>
    <row r="59" spans="1:18" x14ac:dyDescent="0.15">
      <c r="A59" s="547"/>
      <c r="B59" s="84" t="str">
        <f>data_FX10!A5</f>
        <v>Thread 2</v>
      </c>
      <c r="C59" s="85" t="e">
        <f>data_FX10!DO5</f>
        <v>#DIV/0!</v>
      </c>
      <c r="D59" s="53" t="e">
        <f>data_FX10!DP5</f>
        <v>#DIV/0!</v>
      </c>
      <c r="E59" s="53" t="e">
        <f>data_FX10!DQ5</f>
        <v>#DIV/0!</v>
      </c>
      <c r="F59" s="53" t="e">
        <f>data_FX10!DR5</f>
        <v>#DIV/0!</v>
      </c>
      <c r="G59" s="53" t="e">
        <f>data_FX10!DS5</f>
        <v>#DIV/0!</v>
      </c>
      <c r="H59" s="86" t="e">
        <f>data_FX10!DT5</f>
        <v>#DIV/0!</v>
      </c>
      <c r="I59" s="85" t="e">
        <f>data_FX10!DU5</f>
        <v>#DIV/0!</v>
      </c>
      <c r="J59" s="53" t="e">
        <f>data_FX10!DV5</f>
        <v>#DIV/0!</v>
      </c>
      <c r="K59" s="53" t="e">
        <f>data_FX10!DW5</f>
        <v>#DIV/0!</v>
      </c>
      <c r="L59" s="86" t="e">
        <f>data_FX10!DX5</f>
        <v>#DIV/0!</v>
      </c>
      <c r="M59" s="76" t="e">
        <f>data_FX10!DY5</f>
        <v>#DIV/0!</v>
      </c>
      <c r="N59" s="53" t="e">
        <f>data_FX10!DZ5</f>
        <v>#DIV/0!</v>
      </c>
      <c r="O59" s="77" t="e">
        <f>data_FX10!EA5</f>
        <v>#DIV/0!</v>
      </c>
      <c r="P59" s="78" t="e">
        <f t="shared" si="0"/>
        <v>#DIV/0!</v>
      </c>
      <c r="R59" s="1"/>
    </row>
    <row r="60" spans="1:18" ht="14.25" x14ac:dyDescent="0.15">
      <c r="A60" s="547"/>
      <c r="B60" s="84" t="str">
        <f>data_FX10!A6</f>
        <v>Thread 3</v>
      </c>
      <c r="C60" s="85" t="e">
        <f>data_FX10!DO6</f>
        <v>#DIV/0!</v>
      </c>
      <c r="D60" s="53" t="e">
        <f>data_FX10!DP6</f>
        <v>#DIV/0!</v>
      </c>
      <c r="E60" s="53" t="e">
        <f>data_FX10!DQ6</f>
        <v>#DIV/0!</v>
      </c>
      <c r="F60" s="53" t="e">
        <f>data_FX10!DR6</f>
        <v>#DIV/0!</v>
      </c>
      <c r="G60" s="53" t="e">
        <f>data_FX10!DS6</f>
        <v>#DIV/0!</v>
      </c>
      <c r="H60" s="86" t="e">
        <f>data_FX10!DT6</f>
        <v>#DIV/0!</v>
      </c>
      <c r="I60" s="85" t="e">
        <f>data_FX10!DU6</f>
        <v>#DIV/0!</v>
      </c>
      <c r="J60" s="53" t="e">
        <f>data_FX10!DV6</f>
        <v>#DIV/0!</v>
      </c>
      <c r="K60" s="53" t="e">
        <f>data_FX10!DW6</f>
        <v>#DIV/0!</v>
      </c>
      <c r="L60" s="86" t="e">
        <f>data_FX10!DX6</f>
        <v>#DIV/0!</v>
      </c>
      <c r="M60" s="76" t="e">
        <f>data_FX10!DY6</f>
        <v>#DIV/0!</v>
      </c>
      <c r="N60" s="53" t="e">
        <f>data_FX10!DZ6</f>
        <v>#DIV/0!</v>
      </c>
      <c r="O60" s="77" t="e">
        <f>data_FX10!EA6</f>
        <v>#DIV/0!</v>
      </c>
      <c r="P60" s="78" t="e">
        <f t="shared" si="0"/>
        <v>#DIV/0!</v>
      </c>
      <c r="Q60" s="156" t="s">
        <v>311</v>
      </c>
      <c r="R60" s="1"/>
    </row>
    <row r="61" spans="1:18" x14ac:dyDescent="0.15">
      <c r="A61" s="547"/>
      <c r="B61" s="84" t="str">
        <f>data_FX10!A7</f>
        <v>Thread 4</v>
      </c>
      <c r="C61" s="85" t="e">
        <f>data_FX10!DO7</f>
        <v>#DIV/0!</v>
      </c>
      <c r="D61" s="53" t="e">
        <f>data_FX10!DP7</f>
        <v>#DIV/0!</v>
      </c>
      <c r="E61" s="53" t="e">
        <f>data_FX10!DQ7</f>
        <v>#DIV/0!</v>
      </c>
      <c r="F61" s="53" t="e">
        <f>data_FX10!DR7</f>
        <v>#DIV/0!</v>
      </c>
      <c r="G61" s="53" t="e">
        <f>data_FX10!DS7</f>
        <v>#DIV/0!</v>
      </c>
      <c r="H61" s="86" t="e">
        <f>data_FX10!DT7</f>
        <v>#DIV/0!</v>
      </c>
      <c r="I61" s="85" t="e">
        <f>data_FX10!DU7</f>
        <v>#DIV/0!</v>
      </c>
      <c r="J61" s="53" t="e">
        <f>data_FX10!DV7</f>
        <v>#DIV/0!</v>
      </c>
      <c r="K61" s="53" t="e">
        <f>data_FX10!DW7</f>
        <v>#DIV/0!</v>
      </c>
      <c r="L61" s="86" t="e">
        <f>data_FX10!DX7</f>
        <v>#DIV/0!</v>
      </c>
      <c r="M61" s="76" t="e">
        <f>data_FX10!DY7</f>
        <v>#DIV/0!</v>
      </c>
      <c r="N61" s="53" t="e">
        <f>data_FX10!DZ7</f>
        <v>#DIV/0!</v>
      </c>
      <c r="O61" s="77" t="e">
        <f>data_FX10!EA7</f>
        <v>#DIV/0!</v>
      </c>
      <c r="P61" s="78" t="e">
        <f t="shared" si="0"/>
        <v>#DIV/0!</v>
      </c>
      <c r="Q61" s="72"/>
      <c r="R61" s="1"/>
    </row>
    <row r="62" spans="1:18" x14ac:dyDescent="0.15">
      <c r="A62" s="547"/>
      <c r="B62" s="84" t="str">
        <f>data_FX10!A8</f>
        <v>Thread 5</v>
      </c>
      <c r="C62" s="85" t="e">
        <f>data_FX10!DO8</f>
        <v>#DIV/0!</v>
      </c>
      <c r="D62" s="53" t="e">
        <f>data_FX10!DP8</f>
        <v>#DIV/0!</v>
      </c>
      <c r="E62" s="53" t="e">
        <f>data_FX10!DQ8</f>
        <v>#DIV/0!</v>
      </c>
      <c r="F62" s="53" t="e">
        <f>data_FX10!DR8</f>
        <v>#DIV/0!</v>
      </c>
      <c r="G62" s="53" t="e">
        <f>data_FX10!DS8</f>
        <v>#DIV/0!</v>
      </c>
      <c r="H62" s="86" t="e">
        <f>data_FX10!DT8</f>
        <v>#DIV/0!</v>
      </c>
      <c r="I62" s="85" t="e">
        <f>data_FX10!DU8</f>
        <v>#DIV/0!</v>
      </c>
      <c r="J62" s="53" t="e">
        <f>data_FX10!DV8</f>
        <v>#DIV/0!</v>
      </c>
      <c r="K62" s="53" t="e">
        <f>data_FX10!DW8</f>
        <v>#DIV/0!</v>
      </c>
      <c r="L62" s="86" t="e">
        <f>data_FX10!DX8</f>
        <v>#DIV/0!</v>
      </c>
      <c r="M62" s="76" t="e">
        <f>data_FX10!DY8</f>
        <v>#DIV/0!</v>
      </c>
      <c r="N62" s="53" t="e">
        <f>data_FX10!DZ8</f>
        <v>#DIV/0!</v>
      </c>
      <c r="O62" s="77" t="e">
        <f>data_FX10!EA8</f>
        <v>#DIV/0!</v>
      </c>
      <c r="P62" s="78" t="e">
        <f t="shared" si="0"/>
        <v>#DIV/0!</v>
      </c>
      <c r="Q62" s="72"/>
      <c r="R62" s="1"/>
    </row>
    <row r="63" spans="1:18" x14ac:dyDescent="0.15">
      <c r="A63" s="547"/>
      <c r="B63" s="84" t="str">
        <f>data_FX10!A9</f>
        <v>Thread 6</v>
      </c>
      <c r="C63" s="85" t="e">
        <f>data_FX10!DO9</f>
        <v>#DIV/0!</v>
      </c>
      <c r="D63" s="53" t="e">
        <f>data_FX10!DP9</f>
        <v>#DIV/0!</v>
      </c>
      <c r="E63" s="53" t="e">
        <f>data_FX10!DQ9</f>
        <v>#DIV/0!</v>
      </c>
      <c r="F63" s="53" t="e">
        <f>data_FX10!DR9</f>
        <v>#DIV/0!</v>
      </c>
      <c r="G63" s="53" t="e">
        <f>data_FX10!DS9</f>
        <v>#DIV/0!</v>
      </c>
      <c r="H63" s="86" t="e">
        <f>data_FX10!DT9</f>
        <v>#DIV/0!</v>
      </c>
      <c r="I63" s="85" t="e">
        <f>data_FX10!DU9</f>
        <v>#DIV/0!</v>
      </c>
      <c r="J63" s="53" t="e">
        <f>data_FX10!DV9</f>
        <v>#DIV/0!</v>
      </c>
      <c r="K63" s="53" t="e">
        <f>data_FX10!DW9</f>
        <v>#DIV/0!</v>
      </c>
      <c r="L63" s="86" t="e">
        <f>data_FX10!DX9</f>
        <v>#DIV/0!</v>
      </c>
      <c r="M63" s="76" t="e">
        <f>data_FX10!DY9</f>
        <v>#DIV/0!</v>
      </c>
      <c r="N63" s="53" t="e">
        <f>data_FX10!DZ9</f>
        <v>#DIV/0!</v>
      </c>
      <c r="O63" s="77" t="e">
        <f>data_FX10!EA9</f>
        <v>#DIV/0!</v>
      </c>
      <c r="P63" s="78" t="e">
        <f t="shared" si="0"/>
        <v>#DIV/0!</v>
      </c>
      <c r="Q63" s="72"/>
      <c r="R63" s="1"/>
    </row>
    <row r="64" spans="1:18" ht="14.25" thickBot="1" x14ac:dyDescent="0.2">
      <c r="A64" s="548"/>
      <c r="B64" s="84" t="str">
        <f>data_FX10!A10</f>
        <v>Thread 7</v>
      </c>
      <c r="C64" s="85" t="e">
        <f>data_FX10!DO10</f>
        <v>#DIV/0!</v>
      </c>
      <c r="D64" s="53" t="e">
        <f>data_FX10!DP10</f>
        <v>#DIV/0!</v>
      </c>
      <c r="E64" s="53" t="e">
        <f>data_FX10!DQ10</f>
        <v>#DIV/0!</v>
      </c>
      <c r="F64" s="53" t="e">
        <f>data_FX10!DR10</f>
        <v>#DIV/0!</v>
      </c>
      <c r="G64" s="53" t="e">
        <f>data_FX10!DS10</f>
        <v>#DIV/0!</v>
      </c>
      <c r="H64" s="86" t="e">
        <f>data_FX10!DT10</f>
        <v>#DIV/0!</v>
      </c>
      <c r="I64" s="85" t="e">
        <f>data_FX10!DU10</f>
        <v>#DIV/0!</v>
      </c>
      <c r="J64" s="53" t="e">
        <f>data_FX10!DV10</f>
        <v>#DIV/0!</v>
      </c>
      <c r="K64" s="53" t="e">
        <f>data_FX10!DW10</f>
        <v>#DIV/0!</v>
      </c>
      <c r="L64" s="86" t="e">
        <f>data_FX10!DX10</f>
        <v>#DIV/0!</v>
      </c>
      <c r="M64" s="76" t="e">
        <f>data_FX10!DY10</f>
        <v>#DIV/0!</v>
      </c>
      <c r="N64" s="53" t="e">
        <f>data_FX10!DZ10</f>
        <v>#DIV/0!</v>
      </c>
      <c r="O64" s="77" t="e">
        <f>data_FX10!EA10</f>
        <v>#DIV/0!</v>
      </c>
      <c r="P64" s="78" t="e">
        <f t="shared" si="0"/>
        <v>#DIV/0!</v>
      </c>
      <c r="Q64" s="72"/>
      <c r="R64" s="1"/>
    </row>
    <row r="65" spans="1:21" ht="11.25" customHeight="1" x14ac:dyDescent="0.15">
      <c r="A65" s="546"/>
      <c r="B65" s="493" t="str">
        <f>data_FX10!A11</f>
        <v>Thread 8</v>
      </c>
      <c r="C65" s="87" t="e">
        <f>data_FX10!DO11</f>
        <v>#DIV/0!</v>
      </c>
      <c r="D65" s="48" t="e">
        <f>data_FX10!DP11</f>
        <v>#DIV/0!</v>
      </c>
      <c r="E65" s="48" t="e">
        <f>data_FX10!DQ11</f>
        <v>#DIV/0!</v>
      </c>
      <c r="F65" s="48" t="e">
        <f>data_FX10!DR11</f>
        <v>#DIV/0!</v>
      </c>
      <c r="G65" s="48" t="e">
        <f>data_FX10!DS11</f>
        <v>#DIV/0!</v>
      </c>
      <c r="H65" s="88" t="e">
        <f>data_FX10!DT11</f>
        <v>#DIV/0!</v>
      </c>
      <c r="I65" s="87" t="e">
        <f>data_FX10!DU11</f>
        <v>#DIV/0!</v>
      </c>
      <c r="J65" s="48" t="e">
        <f>data_FX10!DV11</f>
        <v>#DIV/0!</v>
      </c>
      <c r="K65" s="48" t="e">
        <f>data_FX10!DW11</f>
        <v>#DIV/0!</v>
      </c>
      <c r="L65" s="88" t="e">
        <f>data_FX10!DX11</f>
        <v>#DIV/0!</v>
      </c>
      <c r="M65" s="73" t="e">
        <f>data_FX10!DY11</f>
        <v>#DIV/0!</v>
      </c>
      <c r="N65" s="48" t="e">
        <f>data_FX10!DZ11</f>
        <v>#DIV/0!</v>
      </c>
      <c r="O65" s="74" t="e">
        <f>data_FX10!EA11</f>
        <v>#DIV/0!</v>
      </c>
      <c r="P65" s="75" t="e">
        <f t="shared" ref="P65:P72" si="1">SUM(C65:O65)</f>
        <v>#DIV/0!</v>
      </c>
      <c r="Q65" s="72"/>
      <c r="R65" s="1"/>
    </row>
    <row r="66" spans="1:21" x14ac:dyDescent="0.15">
      <c r="A66" s="547"/>
      <c r="B66" s="84" t="str">
        <f>data_FX10!A12</f>
        <v>Thread 9</v>
      </c>
      <c r="C66" s="85" t="e">
        <f>data_FX10!DO12</f>
        <v>#DIV/0!</v>
      </c>
      <c r="D66" s="53" t="e">
        <f>data_FX10!DP12</f>
        <v>#DIV/0!</v>
      </c>
      <c r="E66" s="53" t="e">
        <f>data_FX10!DQ12</f>
        <v>#DIV/0!</v>
      </c>
      <c r="F66" s="53" t="e">
        <f>data_FX10!DR12</f>
        <v>#DIV/0!</v>
      </c>
      <c r="G66" s="53" t="e">
        <f>data_FX10!DS12</f>
        <v>#DIV/0!</v>
      </c>
      <c r="H66" s="86" t="e">
        <f>data_FX10!DT12</f>
        <v>#DIV/0!</v>
      </c>
      <c r="I66" s="85" t="e">
        <f>data_FX10!DU12</f>
        <v>#DIV/0!</v>
      </c>
      <c r="J66" s="53" t="e">
        <f>data_FX10!DV12</f>
        <v>#DIV/0!</v>
      </c>
      <c r="K66" s="53" t="e">
        <f>data_FX10!DW12</f>
        <v>#DIV/0!</v>
      </c>
      <c r="L66" s="86" t="e">
        <f>data_FX10!DX12</f>
        <v>#DIV/0!</v>
      </c>
      <c r="M66" s="76" t="e">
        <f>data_FX10!DY12</f>
        <v>#DIV/0!</v>
      </c>
      <c r="N66" s="53" t="e">
        <f>data_FX10!DZ12</f>
        <v>#DIV/0!</v>
      </c>
      <c r="O66" s="77" t="e">
        <f>data_FX10!EA12</f>
        <v>#DIV/0!</v>
      </c>
      <c r="P66" s="78" t="e">
        <f t="shared" si="1"/>
        <v>#DIV/0!</v>
      </c>
      <c r="Q66" s="72"/>
      <c r="R66" s="1"/>
    </row>
    <row r="67" spans="1:21" x14ac:dyDescent="0.15">
      <c r="A67" s="547"/>
      <c r="B67" s="84" t="str">
        <f>data_FX10!A13</f>
        <v>Thread 10</v>
      </c>
      <c r="C67" s="85" t="e">
        <f>data_FX10!DO13</f>
        <v>#DIV/0!</v>
      </c>
      <c r="D67" s="53" t="e">
        <f>data_FX10!DP13</f>
        <v>#DIV/0!</v>
      </c>
      <c r="E67" s="53" t="e">
        <f>data_FX10!DQ13</f>
        <v>#DIV/0!</v>
      </c>
      <c r="F67" s="53" t="e">
        <f>data_FX10!DR13</f>
        <v>#DIV/0!</v>
      </c>
      <c r="G67" s="53" t="e">
        <f>data_FX10!DS13</f>
        <v>#DIV/0!</v>
      </c>
      <c r="H67" s="86" t="e">
        <f>data_FX10!DT13</f>
        <v>#DIV/0!</v>
      </c>
      <c r="I67" s="85" t="e">
        <f>data_FX10!DU13</f>
        <v>#DIV/0!</v>
      </c>
      <c r="J67" s="53" t="e">
        <f>data_FX10!DV13</f>
        <v>#DIV/0!</v>
      </c>
      <c r="K67" s="53" t="e">
        <f>data_FX10!DW13</f>
        <v>#DIV/0!</v>
      </c>
      <c r="L67" s="86" t="e">
        <f>data_FX10!DX13</f>
        <v>#DIV/0!</v>
      </c>
      <c r="M67" s="76" t="e">
        <f>data_FX10!DY13</f>
        <v>#DIV/0!</v>
      </c>
      <c r="N67" s="53" t="e">
        <f>data_FX10!DZ13</f>
        <v>#DIV/0!</v>
      </c>
      <c r="O67" s="77" t="e">
        <f>data_FX10!EA13</f>
        <v>#DIV/0!</v>
      </c>
      <c r="P67" s="78" t="e">
        <f t="shared" si="1"/>
        <v>#DIV/0!</v>
      </c>
      <c r="Q67" s="72"/>
      <c r="R67" s="1"/>
    </row>
    <row r="68" spans="1:21" x14ac:dyDescent="0.15">
      <c r="A68" s="547"/>
      <c r="B68" s="84" t="str">
        <f>data_FX10!A14</f>
        <v>Thread 11</v>
      </c>
      <c r="C68" s="85" t="e">
        <f>data_FX10!DO14</f>
        <v>#DIV/0!</v>
      </c>
      <c r="D68" s="53" t="e">
        <f>data_FX10!DP14</f>
        <v>#DIV/0!</v>
      </c>
      <c r="E68" s="53" t="e">
        <f>data_FX10!DQ14</f>
        <v>#DIV/0!</v>
      </c>
      <c r="F68" s="53" t="e">
        <f>data_FX10!DR14</f>
        <v>#DIV/0!</v>
      </c>
      <c r="G68" s="53" t="e">
        <f>data_FX10!DS14</f>
        <v>#DIV/0!</v>
      </c>
      <c r="H68" s="86" t="e">
        <f>data_FX10!DT14</f>
        <v>#DIV/0!</v>
      </c>
      <c r="I68" s="85" t="e">
        <f>data_FX10!DU14</f>
        <v>#DIV/0!</v>
      </c>
      <c r="J68" s="53" t="e">
        <f>data_FX10!DV14</f>
        <v>#DIV/0!</v>
      </c>
      <c r="K68" s="53" t="e">
        <f>data_FX10!DW14</f>
        <v>#DIV/0!</v>
      </c>
      <c r="L68" s="86" t="e">
        <f>data_FX10!DX14</f>
        <v>#DIV/0!</v>
      </c>
      <c r="M68" s="76" t="e">
        <f>data_FX10!DY14</f>
        <v>#DIV/0!</v>
      </c>
      <c r="N68" s="53" t="e">
        <f>data_FX10!DZ14</f>
        <v>#DIV/0!</v>
      </c>
      <c r="O68" s="77" t="e">
        <f>data_FX10!EA14</f>
        <v>#DIV/0!</v>
      </c>
      <c r="P68" s="78" t="e">
        <f t="shared" si="1"/>
        <v>#DIV/0!</v>
      </c>
      <c r="R68" s="1"/>
    </row>
    <row r="69" spans="1:21" ht="14.25" x14ac:dyDescent="0.15">
      <c r="A69" s="547"/>
      <c r="B69" s="84" t="str">
        <f>data_FX10!A15</f>
        <v>Thread 12</v>
      </c>
      <c r="C69" s="85" t="e">
        <f>data_FX10!DO15</f>
        <v>#DIV/0!</v>
      </c>
      <c r="D69" s="53" t="e">
        <f>data_FX10!DP15</f>
        <v>#DIV/0!</v>
      </c>
      <c r="E69" s="53" t="e">
        <f>data_FX10!DQ15</f>
        <v>#DIV/0!</v>
      </c>
      <c r="F69" s="53" t="e">
        <f>data_FX10!DR15</f>
        <v>#DIV/0!</v>
      </c>
      <c r="G69" s="53" t="e">
        <f>data_FX10!DS15</f>
        <v>#DIV/0!</v>
      </c>
      <c r="H69" s="86" t="e">
        <f>data_FX10!DT15</f>
        <v>#DIV/0!</v>
      </c>
      <c r="I69" s="85" t="e">
        <f>data_FX10!DU15</f>
        <v>#DIV/0!</v>
      </c>
      <c r="J69" s="53" t="e">
        <f>data_FX10!DV15</f>
        <v>#DIV/0!</v>
      </c>
      <c r="K69" s="53" t="e">
        <f>data_FX10!DW15</f>
        <v>#DIV/0!</v>
      </c>
      <c r="L69" s="86" t="e">
        <f>data_FX10!DX15</f>
        <v>#DIV/0!</v>
      </c>
      <c r="M69" s="76" t="e">
        <f>data_FX10!DY15</f>
        <v>#DIV/0!</v>
      </c>
      <c r="N69" s="53" t="e">
        <f>data_FX10!DZ15</f>
        <v>#DIV/0!</v>
      </c>
      <c r="O69" s="77" t="e">
        <f>data_FX10!EA15</f>
        <v>#DIV/0!</v>
      </c>
      <c r="P69" s="78" t="e">
        <f t="shared" si="1"/>
        <v>#DIV/0!</v>
      </c>
      <c r="Q69" s="440"/>
      <c r="R69" s="1"/>
    </row>
    <row r="70" spans="1:21" x14ac:dyDescent="0.15">
      <c r="A70" s="547"/>
      <c r="B70" s="84" t="str">
        <f>data_FX10!A16</f>
        <v>Thread 13</v>
      </c>
      <c r="C70" s="85" t="e">
        <f>data_FX10!DO16</f>
        <v>#DIV/0!</v>
      </c>
      <c r="D70" s="53" t="e">
        <f>data_FX10!DP16</f>
        <v>#DIV/0!</v>
      </c>
      <c r="E70" s="53" t="e">
        <f>data_FX10!DQ16</f>
        <v>#DIV/0!</v>
      </c>
      <c r="F70" s="53" t="e">
        <f>data_FX10!DR16</f>
        <v>#DIV/0!</v>
      </c>
      <c r="G70" s="53" t="e">
        <f>data_FX10!DS16</f>
        <v>#DIV/0!</v>
      </c>
      <c r="H70" s="86" t="e">
        <f>data_FX10!DT16</f>
        <v>#DIV/0!</v>
      </c>
      <c r="I70" s="85" t="e">
        <f>data_FX10!DU16</f>
        <v>#DIV/0!</v>
      </c>
      <c r="J70" s="53" t="e">
        <f>data_FX10!DV16</f>
        <v>#DIV/0!</v>
      </c>
      <c r="K70" s="53" t="e">
        <f>data_FX10!DW16</f>
        <v>#DIV/0!</v>
      </c>
      <c r="L70" s="86" t="e">
        <f>data_FX10!DX16</f>
        <v>#DIV/0!</v>
      </c>
      <c r="M70" s="76" t="e">
        <f>data_FX10!DY16</f>
        <v>#DIV/0!</v>
      </c>
      <c r="N70" s="53" t="e">
        <f>data_FX10!DZ16</f>
        <v>#DIV/0!</v>
      </c>
      <c r="O70" s="77" t="e">
        <f>data_FX10!EA16</f>
        <v>#DIV/0!</v>
      </c>
      <c r="P70" s="78" t="e">
        <f t="shared" si="1"/>
        <v>#DIV/0!</v>
      </c>
      <c r="Q70" s="72"/>
      <c r="R70" s="1"/>
    </row>
    <row r="71" spans="1:21" x14ac:dyDescent="0.15">
      <c r="A71" s="547"/>
      <c r="B71" s="84" t="str">
        <f>data_FX10!A17</f>
        <v>Thread 14</v>
      </c>
      <c r="C71" s="85" t="e">
        <f>data_FX10!DO17</f>
        <v>#DIV/0!</v>
      </c>
      <c r="D71" s="53" t="e">
        <f>data_FX10!DP17</f>
        <v>#DIV/0!</v>
      </c>
      <c r="E71" s="53" t="e">
        <f>data_FX10!DQ17</f>
        <v>#DIV/0!</v>
      </c>
      <c r="F71" s="53" t="e">
        <f>data_FX10!DR17</f>
        <v>#DIV/0!</v>
      </c>
      <c r="G71" s="53" t="e">
        <f>data_FX10!DS17</f>
        <v>#DIV/0!</v>
      </c>
      <c r="H71" s="86" t="e">
        <f>data_FX10!DT17</f>
        <v>#DIV/0!</v>
      </c>
      <c r="I71" s="85" t="e">
        <f>data_FX10!DU17</f>
        <v>#DIV/0!</v>
      </c>
      <c r="J71" s="53" t="e">
        <f>data_FX10!DV17</f>
        <v>#DIV/0!</v>
      </c>
      <c r="K71" s="53" t="e">
        <f>data_FX10!DW17</f>
        <v>#DIV/0!</v>
      </c>
      <c r="L71" s="86" t="e">
        <f>data_FX10!DX17</f>
        <v>#DIV/0!</v>
      </c>
      <c r="M71" s="76" t="e">
        <f>data_FX10!DY17</f>
        <v>#DIV/0!</v>
      </c>
      <c r="N71" s="53" t="e">
        <f>data_FX10!DZ17</f>
        <v>#DIV/0!</v>
      </c>
      <c r="O71" s="77" t="e">
        <f>data_FX10!EA17</f>
        <v>#DIV/0!</v>
      </c>
      <c r="P71" s="78" t="e">
        <f t="shared" si="1"/>
        <v>#DIV/0!</v>
      </c>
      <c r="Q71" s="72"/>
      <c r="R71" s="1"/>
    </row>
    <row r="72" spans="1:21" ht="14.25" thickBot="1" x14ac:dyDescent="0.2">
      <c r="A72" s="548"/>
      <c r="B72" s="135" t="str">
        <f>data_FX10!A18</f>
        <v>Thread 15</v>
      </c>
      <c r="C72" s="87" t="e">
        <f>data_FX10!DO18</f>
        <v>#DIV/0!</v>
      </c>
      <c r="D72" s="48" t="e">
        <f>data_FX10!DP18</f>
        <v>#DIV/0!</v>
      </c>
      <c r="E72" s="48" t="e">
        <f>data_FX10!DQ18</f>
        <v>#DIV/0!</v>
      </c>
      <c r="F72" s="48" t="e">
        <f>data_FX10!DR18</f>
        <v>#DIV/0!</v>
      </c>
      <c r="G72" s="48" t="e">
        <f>data_FX10!DS18</f>
        <v>#DIV/0!</v>
      </c>
      <c r="H72" s="88" t="e">
        <f>data_FX10!DT18</f>
        <v>#DIV/0!</v>
      </c>
      <c r="I72" s="87" t="e">
        <f>data_FX10!DU18</f>
        <v>#DIV/0!</v>
      </c>
      <c r="J72" s="48" t="e">
        <f>data_FX10!DV18</f>
        <v>#DIV/0!</v>
      </c>
      <c r="K72" s="48" t="e">
        <f>data_FX10!DW18</f>
        <v>#DIV/0!</v>
      </c>
      <c r="L72" s="88" t="e">
        <f>data_FX10!DX18</f>
        <v>#DIV/0!</v>
      </c>
      <c r="M72" s="73" t="e">
        <f>data_FX10!DY18</f>
        <v>#DIV/0!</v>
      </c>
      <c r="N72" s="48" t="e">
        <f>data_FX10!DZ18</f>
        <v>#DIV/0!</v>
      </c>
      <c r="O72" s="74" t="e">
        <f>data_FX10!EA18</f>
        <v>#DIV/0!</v>
      </c>
      <c r="P72" s="75" t="e">
        <f t="shared" si="1"/>
        <v>#DIV/0!</v>
      </c>
      <c r="Q72" s="72"/>
      <c r="R72" s="1"/>
    </row>
    <row r="73" spans="1:21" ht="15" thickTop="1" thickBot="1" x14ac:dyDescent="0.2">
      <c r="A73" s="549"/>
      <c r="B73" s="89" t="str">
        <f>data_FX10!A23</f>
        <v>Process</v>
      </c>
      <c r="C73" s="90" t="e">
        <f>data_FX10!DO23</f>
        <v>#DIV/0!</v>
      </c>
      <c r="D73" s="81" t="e">
        <f>data_FX10!DP23</f>
        <v>#DIV/0!</v>
      </c>
      <c r="E73" s="81" t="e">
        <f>data_FX10!DQ23</f>
        <v>#DIV/0!</v>
      </c>
      <c r="F73" s="81" t="e">
        <f>data_FX10!DR23</f>
        <v>#DIV/0!</v>
      </c>
      <c r="G73" s="81" t="e">
        <f>data_FX10!DS23</f>
        <v>#DIV/0!</v>
      </c>
      <c r="H73" s="91" t="e">
        <f>data_FX10!DT23</f>
        <v>#DIV/0!</v>
      </c>
      <c r="I73" s="90" t="e">
        <f>data_FX10!DU23</f>
        <v>#DIV/0!</v>
      </c>
      <c r="J73" s="81" t="e">
        <f>data_FX10!DV23</f>
        <v>#DIV/0!</v>
      </c>
      <c r="K73" s="81" t="e">
        <f>data_FX10!DW23</f>
        <v>#DIV/0!</v>
      </c>
      <c r="L73" s="91" t="e">
        <f>data_FX10!DX23</f>
        <v>#DIV/0!</v>
      </c>
      <c r="M73" s="80" t="e">
        <f>data_FX10!DY23</f>
        <v>#DIV/0!</v>
      </c>
      <c r="N73" s="81" t="e">
        <f>data_FX10!DZ23</f>
        <v>#DIV/0!</v>
      </c>
      <c r="O73" s="82" t="e">
        <f>data_FX10!EA23</f>
        <v>#DIV/0!</v>
      </c>
      <c r="P73" s="83" t="e">
        <f>SUM(C73:O73)</f>
        <v>#DIV/0!</v>
      </c>
      <c r="Q73" s="72"/>
      <c r="R73" s="1"/>
    </row>
    <row r="74" spans="1:21" ht="33.75" customHeight="1" thickBot="1" x14ac:dyDescent="0.2">
      <c r="A74" s="543"/>
      <c r="B74" s="45"/>
      <c r="C74" s="652" t="s">
        <v>235</v>
      </c>
      <c r="D74" s="653"/>
      <c r="E74" s="653"/>
      <c r="F74" s="653"/>
      <c r="G74" s="653"/>
      <c r="H74" s="654"/>
      <c r="I74" s="655" t="s">
        <v>213</v>
      </c>
      <c r="J74" s="656"/>
      <c r="K74" s="656"/>
      <c r="L74" s="657"/>
      <c r="M74" s="92" t="s">
        <v>227</v>
      </c>
      <c r="N74" s="93" t="s">
        <v>228</v>
      </c>
      <c r="O74" s="94" t="s">
        <v>212</v>
      </c>
      <c r="P74" s="95" t="s">
        <v>176</v>
      </c>
      <c r="Q74" s="72"/>
      <c r="R74" s="1"/>
    </row>
    <row r="75" spans="1:21" ht="15.75" thickTop="1" thickBot="1" x14ac:dyDescent="0.2">
      <c r="A75" s="542"/>
      <c r="B75" s="79" t="str">
        <f>data_FX10!A23</f>
        <v>Process</v>
      </c>
      <c r="C75" s="667">
        <f>SUM(C93:H93)</f>
        <v>0</v>
      </c>
      <c r="D75" s="659"/>
      <c r="E75" s="659"/>
      <c r="F75" s="659"/>
      <c r="G75" s="659"/>
      <c r="H75" s="660"/>
      <c r="I75" s="683">
        <f>SUM(I93:L93)</f>
        <v>0</v>
      </c>
      <c r="J75" s="662"/>
      <c r="K75" s="662"/>
      <c r="L75" s="663"/>
      <c r="M75" s="114">
        <f>M93</f>
        <v>0</v>
      </c>
      <c r="N75" s="103">
        <f>N93</f>
        <v>0</v>
      </c>
      <c r="O75" s="505">
        <f>O93</f>
        <v>0</v>
      </c>
      <c r="P75" s="104">
        <f>SUM(C75:O75)</f>
        <v>0</v>
      </c>
      <c r="Q75" s="156" t="s">
        <v>312</v>
      </c>
      <c r="U75" s="156" t="s">
        <v>320</v>
      </c>
    </row>
    <row r="76" spans="1:21" ht="51.75" customHeight="1" thickBot="1" x14ac:dyDescent="0.2">
      <c r="A76" s="543"/>
      <c r="B76" s="105"/>
      <c r="C76" s="106" t="s">
        <v>236</v>
      </c>
      <c r="D76" s="107" t="s">
        <v>237</v>
      </c>
      <c r="E76" s="93" t="s">
        <v>238</v>
      </c>
      <c r="F76" s="93" t="s">
        <v>239</v>
      </c>
      <c r="G76" s="93" t="s">
        <v>243</v>
      </c>
      <c r="H76" s="108" t="s">
        <v>240</v>
      </c>
      <c r="I76" s="109" t="s">
        <v>220</v>
      </c>
      <c r="J76" s="93" t="s">
        <v>221</v>
      </c>
      <c r="K76" s="93" t="s">
        <v>222</v>
      </c>
      <c r="L76" s="108" t="s">
        <v>223</v>
      </c>
      <c r="M76" s="92" t="s">
        <v>227</v>
      </c>
      <c r="N76" s="93" t="s">
        <v>228</v>
      </c>
      <c r="O76" s="94" t="s">
        <v>212</v>
      </c>
      <c r="P76" s="95" t="s">
        <v>176</v>
      </c>
    </row>
    <row r="77" spans="1:21" ht="14.25" x14ac:dyDescent="0.15">
      <c r="B77" s="134" t="str">
        <f>data_FX10!A3</f>
        <v>Thread 0</v>
      </c>
      <c r="C77" s="110">
        <f>data_FX10!DJ3</f>
        <v>0</v>
      </c>
      <c r="D77" s="97">
        <f>data_FX10!DH3</f>
        <v>0</v>
      </c>
      <c r="E77" s="97">
        <f>data_FX10!DK3</f>
        <v>0</v>
      </c>
      <c r="F77" s="97">
        <f>data_FX10!DI3</f>
        <v>0</v>
      </c>
      <c r="G77" s="97">
        <f>data_FX10!DF3</f>
        <v>0</v>
      </c>
      <c r="H77" s="111">
        <f>data_FX10!DG3</f>
        <v>0</v>
      </c>
      <c r="I77" s="110">
        <f>data_FX10!DC3</f>
        <v>0</v>
      </c>
      <c r="J77" s="97">
        <f>data_FX10!CZ3</f>
        <v>0</v>
      </c>
      <c r="K77" s="97">
        <f>data_FX10!DD3</f>
        <v>0</v>
      </c>
      <c r="L77" s="111">
        <f>data_FX10!DA3</f>
        <v>0</v>
      </c>
      <c r="M77" s="96">
        <f>data_FX10!CY3</f>
        <v>0</v>
      </c>
      <c r="N77" s="97">
        <f>data_FX10!CX3</f>
        <v>0</v>
      </c>
      <c r="O77" s="98">
        <f>data_FX10!DL3</f>
        <v>0</v>
      </c>
      <c r="P77" s="494">
        <f>SUM(C77:O77)</f>
        <v>0</v>
      </c>
      <c r="Q77" s="440"/>
    </row>
    <row r="78" spans="1:21" x14ac:dyDescent="0.15">
      <c r="B78" s="84" t="str">
        <f>data_FX10!A4</f>
        <v>Thread 1</v>
      </c>
      <c r="C78" s="112">
        <f>data_FX10!DJ4</f>
        <v>0</v>
      </c>
      <c r="D78" s="100">
        <f>data_FX10!DH4</f>
        <v>0</v>
      </c>
      <c r="E78" s="100">
        <f>data_FX10!DK4</f>
        <v>0</v>
      </c>
      <c r="F78" s="100">
        <f>data_FX10!DI4</f>
        <v>0</v>
      </c>
      <c r="G78" s="100">
        <f>data_FX10!DF4</f>
        <v>0</v>
      </c>
      <c r="H78" s="113">
        <f>data_FX10!DG4</f>
        <v>0</v>
      </c>
      <c r="I78" s="112">
        <f>data_FX10!DC4</f>
        <v>0</v>
      </c>
      <c r="J78" s="100">
        <f>data_FX10!CZ4</f>
        <v>0</v>
      </c>
      <c r="K78" s="100">
        <f>data_FX10!DD4</f>
        <v>0</v>
      </c>
      <c r="L78" s="113">
        <f>data_FX10!DA4</f>
        <v>0</v>
      </c>
      <c r="M78" s="99">
        <f>data_FX10!CY4</f>
        <v>0</v>
      </c>
      <c r="N78" s="100">
        <f>data_FX10!CX4</f>
        <v>0</v>
      </c>
      <c r="O78" s="101">
        <f>data_FX10!DL4</f>
        <v>0</v>
      </c>
      <c r="P78" s="102">
        <f t="shared" ref="P78:P93" si="2">SUM(C78:O78)</f>
        <v>0</v>
      </c>
    </row>
    <row r="79" spans="1:21" x14ac:dyDescent="0.15">
      <c r="B79" s="84" t="str">
        <f>data_FX10!A5</f>
        <v>Thread 2</v>
      </c>
      <c r="C79" s="112">
        <f>data_FX10!DJ5</f>
        <v>0</v>
      </c>
      <c r="D79" s="100">
        <f>data_FX10!DH5</f>
        <v>0</v>
      </c>
      <c r="E79" s="100">
        <f>data_FX10!DK5</f>
        <v>0</v>
      </c>
      <c r="F79" s="100">
        <f>data_FX10!DI5</f>
        <v>0</v>
      </c>
      <c r="G79" s="100">
        <f>data_FX10!DF5</f>
        <v>0</v>
      </c>
      <c r="H79" s="113">
        <f>data_FX10!DG5</f>
        <v>0</v>
      </c>
      <c r="I79" s="112">
        <f>data_FX10!DC5</f>
        <v>0</v>
      </c>
      <c r="J79" s="100">
        <f>data_FX10!CZ5</f>
        <v>0</v>
      </c>
      <c r="K79" s="100">
        <f>data_FX10!DD5</f>
        <v>0</v>
      </c>
      <c r="L79" s="113">
        <f>data_FX10!DA5</f>
        <v>0</v>
      </c>
      <c r="M79" s="99">
        <f>data_FX10!CY5</f>
        <v>0</v>
      </c>
      <c r="N79" s="100">
        <f>data_FX10!CX5</f>
        <v>0</v>
      </c>
      <c r="O79" s="101">
        <f>data_FX10!DL5</f>
        <v>0</v>
      </c>
      <c r="P79" s="102">
        <f t="shared" si="2"/>
        <v>0</v>
      </c>
    </row>
    <row r="80" spans="1:21" x14ac:dyDescent="0.15">
      <c r="B80" s="84" t="str">
        <f>data_FX10!A6</f>
        <v>Thread 3</v>
      </c>
      <c r="C80" s="112">
        <f>data_FX10!DJ6</f>
        <v>0</v>
      </c>
      <c r="D80" s="100">
        <f>data_FX10!DH6</f>
        <v>0</v>
      </c>
      <c r="E80" s="100">
        <f>data_FX10!DK6</f>
        <v>0</v>
      </c>
      <c r="F80" s="100">
        <f>data_FX10!DI6</f>
        <v>0</v>
      </c>
      <c r="G80" s="100">
        <f>data_FX10!DF6</f>
        <v>0</v>
      </c>
      <c r="H80" s="113">
        <f>data_FX10!DG6</f>
        <v>0</v>
      </c>
      <c r="I80" s="112">
        <f>data_FX10!DC6</f>
        <v>0</v>
      </c>
      <c r="J80" s="100">
        <f>data_FX10!CZ6</f>
        <v>0</v>
      </c>
      <c r="K80" s="100">
        <f>data_FX10!DD6</f>
        <v>0</v>
      </c>
      <c r="L80" s="113">
        <f>data_FX10!DA6</f>
        <v>0</v>
      </c>
      <c r="M80" s="99">
        <f>data_FX10!CY6</f>
        <v>0</v>
      </c>
      <c r="N80" s="100">
        <f>data_FX10!CX6</f>
        <v>0</v>
      </c>
      <c r="O80" s="101">
        <f>data_FX10!DL6</f>
        <v>0</v>
      </c>
      <c r="P80" s="102">
        <f t="shared" si="2"/>
        <v>0</v>
      </c>
    </row>
    <row r="81" spans="1:18" x14ac:dyDescent="0.15">
      <c r="B81" s="84" t="str">
        <f>data_FX10!A7</f>
        <v>Thread 4</v>
      </c>
      <c r="C81" s="112">
        <f>data_FX10!DJ7</f>
        <v>0</v>
      </c>
      <c r="D81" s="100">
        <f>data_FX10!DH7</f>
        <v>0</v>
      </c>
      <c r="E81" s="100">
        <f>data_FX10!DK7</f>
        <v>0</v>
      </c>
      <c r="F81" s="100">
        <f>data_FX10!DI7</f>
        <v>0</v>
      </c>
      <c r="G81" s="100">
        <f>data_FX10!DF7</f>
        <v>0</v>
      </c>
      <c r="H81" s="113">
        <f>data_FX10!DG7</f>
        <v>0</v>
      </c>
      <c r="I81" s="112">
        <f>data_FX10!DC7</f>
        <v>0</v>
      </c>
      <c r="J81" s="100">
        <f>data_FX10!CZ7</f>
        <v>0</v>
      </c>
      <c r="K81" s="100">
        <f>data_FX10!DD7</f>
        <v>0</v>
      </c>
      <c r="L81" s="113">
        <f>data_FX10!DA7</f>
        <v>0</v>
      </c>
      <c r="M81" s="99">
        <f>data_FX10!CY7</f>
        <v>0</v>
      </c>
      <c r="N81" s="100">
        <f>data_FX10!CX7</f>
        <v>0</v>
      </c>
      <c r="O81" s="101">
        <f>data_FX10!DL7</f>
        <v>0</v>
      </c>
      <c r="P81" s="102">
        <f t="shared" si="2"/>
        <v>0</v>
      </c>
    </row>
    <row r="82" spans="1:18" x14ac:dyDescent="0.15">
      <c r="B82" s="84" t="str">
        <f>data_FX10!A8</f>
        <v>Thread 5</v>
      </c>
      <c r="C82" s="112">
        <f>data_FX10!DJ8</f>
        <v>0</v>
      </c>
      <c r="D82" s="100">
        <f>data_FX10!DH8</f>
        <v>0</v>
      </c>
      <c r="E82" s="100">
        <f>data_FX10!DK8</f>
        <v>0</v>
      </c>
      <c r="F82" s="100">
        <f>data_FX10!DI8</f>
        <v>0</v>
      </c>
      <c r="G82" s="100">
        <f>data_FX10!DF8</f>
        <v>0</v>
      </c>
      <c r="H82" s="113">
        <f>data_FX10!DG8</f>
        <v>0</v>
      </c>
      <c r="I82" s="112">
        <f>data_FX10!DC8</f>
        <v>0</v>
      </c>
      <c r="J82" s="100">
        <f>data_FX10!CZ8</f>
        <v>0</v>
      </c>
      <c r="K82" s="100">
        <f>data_FX10!DD8</f>
        <v>0</v>
      </c>
      <c r="L82" s="113">
        <f>data_FX10!DA8</f>
        <v>0</v>
      </c>
      <c r="M82" s="99">
        <f>data_FX10!CY8</f>
        <v>0</v>
      </c>
      <c r="N82" s="100">
        <f>data_FX10!CX8</f>
        <v>0</v>
      </c>
      <c r="O82" s="101">
        <f>data_FX10!DL8</f>
        <v>0</v>
      </c>
      <c r="P82" s="102">
        <f t="shared" si="2"/>
        <v>0</v>
      </c>
    </row>
    <row r="83" spans="1:18" x14ac:dyDescent="0.15">
      <c r="B83" s="84" t="str">
        <f>data_FX10!A9</f>
        <v>Thread 6</v>
      </c>
      <c r="C83" s="112">
        <f>data_FX10!DJ9</f>
        <v>0</v>
      </c>
      <c r="D83" s="100">
        <f>data_FX10!DH9</f>
        <v>0</v>
      </c>
      <c r="E83" s="100">
        <f>data_FX10!DK9</f>
        <v>0</v>
      </c>
      <c r="F83" s="100">
        <f>data_FX10!DI9</f>
        <v>0</v>
      </c>
      <c r="G83" s="100">
        <f>data_FX10!DF9</f>
        <v>0</v>
      </c>
      <c r="H83" s="113">
        <f>data_FX10!DG9</f>
        <v>0</v>
      </c>
      <c r="I83" s="112">
        <f>data_FX10!DC9</f>
        <v>0</v>
      </c>
      <c r="J83" s="100">
        <f>data_FX10!CZ9</f>
        <v>0</v>
      </c>
      <c r="K83" s="100">
        <f>data_FX10!DD9</f>
        <v>0</v>
      </c>
      <c r="L83" s="113">
        <f>data_FX10!DA9</f>
        <v>0</v>
      </c>
      <c r="M83" s="99">
        <f>data_FX10!CY9</f>
        <v>0</v>
      </c>
      <c r="N83" s="100">
        <f>data_FX10!CX9</f>
        <v>0</v>
      </c>
      <c r="O83" s="101">
        <f>data_FX10!DL9</f>
        <v>0</v>
      </c>
      <c r="P83" s="102">
        <f t="shared" si="2"/>
        <v>0</v>
      </c>
    </row>
    <row r="84" spans="1:18" x14ac:dyDescent="0.15">
      <c r="B84" s="84" t="str">
        <f>data_FX10!A10</f>
        <v>Thread 7</v>
      </c>
      <c r="C84" s="112">
        <f>data_FX10!DJ10</f>
        <v>0</v>
      </c>
      <c r="D84" s="100">
        <f>data_FX10!DH10</f>
        <v>0</v>
      </c>
      <c r="E84" s="100">
        <f>data_FX10!DK10</f>
        <v>0</v>
      </c>
      <c r="F84" s="100">
        <f>data_FX10!DI10</f>
        <v>0</v>
      </c>
      <c r="G84" s="100">
        <f>data_FX10!DF10</f>
        <v>0</v>
      </c>
      <c r="H84" s="113">
        <f>data_FX10!DG10</f>
        <v>0</v>
      </c>
      <c r="I84" s="112">
        <f>data_FX10!DC10</f>
        <v>0</v>
      </c>
      <c r="J84" s="100">
        <f>data_FX10!CZ10</f>
        <v>0</v>
      </c>
      <c r="K84" s="100">
        <f>data_FX10!DD10</f>
        <v>0</v>
      </c>
      <c r="L84" s="113">
        <f>data_FX10!DA10</f>
        <v>0</v>
      </c>
      <c r="M84" s="99">
        <f>data_FX10!CY10</f>
        <v>0</v>
      </c>
      <c r="N84" s="100">
        <f>data_FX10!CX10</f>
        <v>0</v>
      </c>
      <c r="O84" s="101">
        <f>data_FX10!DL10</f>
        <v>0</v>
      </c>
      <c r="P84" s="102">
        <f t="shared" si="2"/>
        <v>0</v>
      </c>
    </row>
    <row r="85" spans="1:18" x14ac:dyDescent="0.15">
      <c r="B85" s="493" t="str">
        <f>data_FX10!A11</f>
        <v>Thread 8</v>
      </c>
      <c r="C85" s="110">
        <f>data_FX10!DJ11</f>
        <v>0</v>
      </c>
      <c r="D85" s="97">
        <f>data_FX10!DH11</f>
        <v>0</v>
      </c>
      <c r="E85" s="97">
        <f>data_FX10!DK11</f>
        <v>0</v>
      </c>
      <c r="F85" s="97">
        <f>data_FX10!DI11</f>
        <v>0</v>
      </c>
      <c r="G85" s="97">
        <f>data_FX10!DF11</f>
        <v>0</v>
      </c>
      <c r="H85" s="111">
        <f>data_FX10!DG11</f>
        <v>0</v>
      </c>
      <c r="I85" s="110">
        <f>data_FX10!DC11</f>
        <v>0</v>
      </c>
      <c r="J85" s="97">
        <f>data_FX10!CZ11</f>
        <v>0</v>
      </c>
      <c r="K85" s="97">
        <f>data_FX10!DD11</f>
        <v>0</v>
      </c>
      <c r="L85" s="111">
        <f>data_FX10!DA11</f>
        <v>0</v>
      </c>
      <c r="M85" s="96">
        <f>data_FX10!CY11</f>
        <v>0</v>
      </c>
      <c r="N85" s="97">
        <f>data_FX10!CX11</f>
        <v>0</v>
      </c>
      <c r="O85" s="98">
        <f>data_FX10!DL11</f>
        <v>0</v>
      </c>
      <c r="P85" s="102">
        <f t="shared" si="2"/>
        <v>0</v>
      </c>
    </row>
    <row r="86" spans="1:18" x14ac:dyDescent="0.15">
      <c r="B86" s="84" t="str">
        <f>data_FX10!A12</f>
        <v>Thread 9</v>
      </c>
      <c r="C86" s="112">
        <f>data_FX10!DJ12</f>
        <v>0</v>
      </c>
      <c r="D86" s="100">
        <f>data_FX10!DH12</f>
        <v>0</v>
      </c>
      <c r="E86" s="100">
        <f>data_FX10!DK12</f>
        <v>0</v>
      </c>
      <c r="F86" s="100">
        <f>data_FX10!DI12</f>
        <v>0</v>
      </c>
      <c r="G86" s="100">
        <f>data_FX10!DF12</f>
        <v>0</v>
      </c>
      <c r="H86" s="113">
        <f>data_FX10!DG12</f>
        <v>0</v>
      </c>
      <c r="I86" s="112">
        <f>data_FX10!DC12</f>
        <v>0</v>
      </c>
      <c r="J86" s="100">
        <f>data_FX10!CZ12</f>
        <v>0</v>
      </c>
      <c r="K86" s="100">
        <f>data_FX10!DD12</f>
        <v>0</v>
      </c>
      <c r="L86" s="113">
        <f>data_FX10!DA12</f>
        <v>0</v>
      </c>
      <c r="M86" s="99">
        <f>data_FX10!CY12</f>
        <v>0</v>
      </c>
      <c r="N86" s="100">
        <f>data_FX10!CX12</f>
        <v>0</v>
      </c>
      <c r="O86" s="101">
        <f>data_FX10!DL12</f>
        <v>0</v>
      </c>
      <c r="P86" s="102">
        <f t="shared" si="2"/>
        <v>0</v>
      </c>
    </row>
    <row r="87" spans="1:18" x14ac:dyDescent="0.15">
      <c r="B87" s="84" t="str">
        <f>data_FX10!A13</f>
        <v>Thread 10</v>
      </c>
      <c r="C87" s="112">
        <f>data_FX10!DJ13</f>
        <v>0</v>
      </c>
      <c r="D87" s="100">
        <f>data_FX10!DH13</f>
        <v>0</v>
      </c>
      <c r="E87" s="100">
        <f>data_FX10!DK13</f>
        <v>0</v>
      </c>
      <c r="F87" s="100">
        <f>data_FX10!DI13</f>
        <v>0</v>
      </c>
      <c r="G87" s="100">
        <f>data_FX10!DF13</f>
        <v>0</v>
      </c>
      <c r="H87" s="113">
        <f>data_FX10!DG13</f>
        <v>0</v>
      </c>
      <c r="I87" s="112">
        <f>data_FX10!DC13</f>
        <v>0</v>
      </c>
      <c r="J87" s="100">
        <f>data_FX10!CZ13</f>
        <v>0</v>
      </c>
      <c r="K87" s="100">
        <f>data_FX10!DD13</f>
        <v>0</v>
      </c>
      <c r="L87" s="113">
        <f>data_FX10!DA13</f>
        <v>0</v>
      </c>
      <c r="M87" s="99">
        <f>data_FX10!CY13</f>
        <v>0</v>
      </c>
      <c r="N87" s="100">
        <f>data_FX10!CX13</f>
        <v>0</v>
      </c>
      <c r="O87" s="101">
        <f>data_FX10!DL13</f>
        <v>0</v>
      </c>
      <c r="P87" s="102">
        <f t="shared" si="2"/>
        <v>0</v>
      </c>
      <c r="R87" s="1"/>
    </row>
    <row r="88" spans="1:18" x14ac:dyDescent="0.15">
      <c r="B88" s="84" t="str">
        <f>data_FX10!A14</f>
        <v>Thread 11</v>
      </c>
      <c r="C88" s="112">
        <f>data_FX10!DJ14</f>
        <v>0</v>
      </c>
      <c r="D88" s="100">
        <f>data_FX10!DH14</f>
        <v>0</v>
      </c>
      <c r="E88" s="100">
        <f>data_FX10!DK14</f>
        <v>0</v>
      </c>
      <c r="F88" s="100">
        <f>data_FX10!DI14</f>
        <v>0</v>
      </c>
      <c r="G88" s="100">
        <f>data_FX10!DF14</f>
        <v>0</v>
      </c>
      <c r="H88" s="113">
        <f>data_FX10!DG14</f>
        <v>0</v>
      </c>
      <c r="I88" s="112">
        <f>data_FX10!DC14</f>
        <v>0</v>
      </c>
      <c r="J88" s="100">
        <f>data_FX10!CZ14</f>
        <v>0</v>
      </c>
      <c r="K88" s="100">
        <f>data_FX10!DD14</f>
        <v>0</v>
      </c>
      <c r="L88" s="113">
        <f>data_FX10!DA14</f>
        <v>0</v>
      </c>
      <c r="M88" s="99">
        <f>data_FX10!CY14</f>
        <v>0</v>
      </c>
      <c r="N88" s="100">
        <f>data_FX10!CX14</f>
        <v>0</v>
      </c>
      <c r="O88" s="101">
        <f>data_FX10!DL14</f>
        <v>0</v>
      </c>
      <c r="P88" s="102">
        <f t="shared" si="2"/>
        <v>0</v>
      </c>
      <c r="Q88" s="72"/>
      <c r="R88" s="1"/>
    </row>
    <row r="89" spans="1:18" x14ac:dyDescent="0.15">
      <c r="B89" s="84" t="str">
        <f>data_FX10!A15</f>
        <v>Thread 12</v>
      </c>
      <c r="C89" s="112">
        <f>data_FX10!DJ15</f>
        <v>0</v>
      </c>
      <c r="D89" s="100">
        <f>data_FX10!DH15</f>
        <v>0</v>
      </c>
      <c r="E89" s="100">
        <f>data_FX10!DK15</f>
        <v>0</v>
      </c>
      <c r="F89" s="100">
        <f>data_FX10!DI15</f>
        <v>0</v>
      </c>
      <c r="G89" s="100">
        <f>data_FX10!DF15</f>
        <v>0</v>
      </c>
      <c r="H89" s="113">
        <f>data_FX10!DG15</f>
        <v>0</v>
      </c>
      <c r="I89" s="112">
        <f>data_FX10!DC15</f>
        <v>0</v>
      </c>
      <c r="J89" s="100">
        <f>data_FX10!CZ15</f>
        <v>0</v>
      </c>
      <c r="K89" s="100">
        <f>data_FX10!DD15</f>
        <v>0</v>
      </c>
      <c r="L89" s="113">
        <f>data_FX10!DA15</f>
        <v>0</v>
      </c>
      <c r="M89" s="99">
        <f>data_FX10!CY15</f>
        <v>0</v>
      </c>
      <c r="N89" s="100">
        <f>data_FX10!CX15</f>
        <v>0</v>
      </c>
      <c r="O89" s="101">
        <f>data_FX10!DL15</f>
        <v>0</v>
      </c>
      <c r="P89" s="102">
        <f t="shared" si="2"/>
        <v>0</v>
      </c>
      <c r="Q89" s="72"/>
      <c r="R89" s="1"/>
    </row>
    <row r="90" spans="1:18" x14ac:dyDescent="0.15">
      <c r="B90" s="84" t="str">
        <f>data_FX10!A16</f>
        <v>Thread 13</v>
      </c>
      <c r="C90" s="112">
        <f>data_FX10!DJ16</f>
        <v>0</v>
      </c>
      <c r="D90" s="100">
        <f>data_FX10!DH16</f>
        <v>0</v>
      </c>
      <c r="E90" s="100">
        <f>data_FX10!DK16</f>
        <v>0</v>
      </c>
      <c r="F90" s="100">
        <f>data_FX10!DI16</f>
        <v>0</v>
      </c>
      <c r="G90" s="100">
        <f>data_FX10!DF16</f>
        <v>0</v>
      </c>
      <c r="H90" s="113">
        <f>data_FX10!DG16</f>
        <v>0</v>
      </c>
      <c r="I90" s="112">
        <f>data_FX10!DC16</f>
        <v>0</v>
      </c>
      <c r="J90" s="100">
        <f>data_FX10!CZ16</f>
        <v>0</v>
      </c>
      <c r="K90" s="100">
        <f>data_FX10!DD16</f>
        <v>0</v>
      </c>
      <c r="L90" s="113">
        <f>data_FX10!DA16</f>
        <v>0</v>
      </c>
      <c r="M90" s="99">
        <f>data_FX10!CY16</f>
        <v>0</v>
      </c>
      <c r="N90" s="100">
        <f>data_FX10!CX16</f>
        <v>0</v>
      </c>
      <c r="O90" s="101">
        <f>data_FX10!DL16</f>
        <v>0</v>
      </c>
      <c r="P90" s="102">
        <f t="shared" si="2"/>
        <v>0</v>
      </c>
      <c r="Q90" s="72"/>
      <c r="R90" s="1"/>
    </row>
    <row r="91" spans="1:18" x14ac:dyDescent="0.15">
      <c r="B91" s="84" t="str">
        <f>data_FX10!A17</f>
        <v>Thread 14</v>
      </c>
      <c r="C91" s="112">
        <f>data_FX10!DJ17</f>
        <v>0</v>
      </c>
      <c r="D91" s="100">
        <f>data_FX10!DH17</f>
        <v>0</v>
      </c>
      <c r="E91" s="100">
        <f>data_FX10!DK17</f>
        <v>0</v>
      </c>
      <c r="F91" s="100">
        <f>data_FX10!DI17</f>
        <v>0</v>
      </c>
      <c r="G91" s="100">
        <f>data_FX10!DF17</f>
        <v>0</v>
      </c>
      <c r="H91" s="113">
        <f>data_FX10!DG17</f>
        <v>0</v>
      </c>
      <c r="I91" s="112">
        <f>data_FX10!DC17</f>
        <v>0</v>
      </c>
      <c r="J91" s="100">
        <f>data_FX10!CZ17</f>
        <v>0</v>
      </c>
      <c r="K91" s="100">
        <f>data_FX10!DD17</f>
        <v>0</v>
      </c>
      <c r="L91" s="113">
        <f>data_FX10!DA17</f>
        <v>0</v>
      </c>
      <c r="M91" s="99">
        <f>data_FX10!CY17</f>
        <v>0</v>
      </c>
      <c r="N91" s="100">
        <f>data_FX10!CX17</f>
        <v>0</v>
      </c>
      <c r="O91" s="101">
        <f>data_FX10!DL17</f>
        <v>0</v>
      </c>
      <c r="P91" s="102">
        <f t="shared" si="2"/>
        <v>0</v>
      </c>
      <c r="Q91" s="72"/>
      <c r="R91" s="1"/>
    </row>
    <row r="92" spans="1:18" ht="14.25" thickBot="1" x14ac:dyDescent="0.2">
      <c r="B92" s="135" t="str">
        <f>data_FX10!A18</f>
        <v>Thread 15</v>
      </c>
      <c r="C92" s="110">
        <f>data_FX10!DJ18</f>
        <v>0</v>
      </c>
      <c r="D92" s="97">
        <f>data_FX10!DH18</f>
        <v>0</v>
      </c>
      <c r="E92" s="97">
        <f>data_FX10!DK18</f>
        <v>0</v>
      </c>
      <c r="F92" s="97">
        <f>data_FX10!DI18</f>
        <v>0</v>
      </c>
      <c r="G92" s="97">
        <f>data_FX10!DF18</f>
        <v>0</v>
      </c>
      <c r="H92" s="111">
        <f>data_FX10!DG18</f>
        <v>0</v>
      </c>
      <c r="I92" s="110">
        <f>data_FX10!DC18</f>
        <v>0</v>
      </c>
      <c r="J92" s="97">
        <f>data_FX10!CZ18</f>
        <v>0</v>
      </c>
      <c r="K92" s="97">
        <f>data_FX10!DD18</f>
        <v>0</v>
      </c>
      <c r="L92" s="111">
        <f>data_FX10!DA18</f>
        <v>0</v>
      </c>
      <c r="M92" s="96">
        <f>data_FX10!CY18</f>
        <v>0</v>
      </c>
      <c r="N92" s="97">
        <f>data_FX10!CX18</f>
        <v>0</v>
      </c>
      <c r="O92" s="98">
        <f>data_FX10!DL18</f>
        <v>0</v>
      </c>
      <c r="P92" s="495">
        <f t="shared" si="2"/>
        <v>0</v>
      </c>
      <c r="Q92" s="72"/>
      <c r="R92" s="1"/>
    </row>
    <row r="93" spans="1:18" ht="15" thickTop="1" thickBot="1" x14ac:dyDescent="0.2">
      <c r="A93" s="549"/>
      <c r="B93" s="89" t="str">
        <f>data_FX10!A23</f>
        <v>Process</v>
      </c>
      <c r="C93" s="114">
        <f>SUM(C77:C92)</f>
        <v>0</v>
      </c>
      <c r="D93" s="103">
        <f t="shared" ref="D93:O93" si="3">SUM(D77:D92)</f>
        <v>0</v>
      </c>
      <c r="E93" s="103">
        <f t="shared" si="3"/>
        <v>0</v>
      </c>
      <c r="F93" s="103">
        <f t="shared" si="3"/>
        <v>0</v>
      </c>
      <c r="G93" s="103">
        <f t="shared" si="3"/>
        <v>0</v>
      </c>
      <c r="H93" s="115">
        <f t="shared" si="3"/>
        <v>0</v>
      </c>
      <c r="I93" s="114">
        <f t="shared" si="3"/>
        <v>0</v>
      </c>
      <c r="J93" s="103">
        <f t="shared" si="3"/>
        <v>0</v>
      </c>
      <c r="K93" s="103">
        <f t="shared" si="3"/>
        <v>0</v>
      </c>
      <c r="L93" s="115">
        <f t="shared" si="3"/>
        <v>0</v>
      </c>
      <c r="M93" s="114">
        <f t="shared" si="3"/>
        <v>0</v>
      </c>
      <c r="N93" s="103">
        <f t="shared" si="3"/>
        <v>0</v>
      </c>
      <c r="O93" s="505">
        <f t="shared" si="3"/>
        <v>0</v>
      </c>
      <c r="P93" s="104">
        <f t="shared" si="2"/>
        <v>0</v>
      </c>
      <c r="Q93" s="72"/>
      <c r="R93" s="1"/>
    </row>
    <row r="94" spans="1:18" x14ac:dyDescent="0.15">
      <c r="B94" s="72"/>
      <c r="C94" s="116"/>
      <c r="D94" s="116"/>
      <c r="E94" s="116"/>
      <c r="F94" s="116"/>
      <c r="G94" s="116"/>
      <c r="H94" s="116"/>
      <c r="I94" s="116"/>
      <c r="J94" s="116"/>
      <c r="K94" s="116"/>
      <c r="L94" s="116"/>
      <c r="M94" s="116"/>
      <c r="N94" s="116"/>
      <c r="O94" s="116"/>
      <c r="P94" s="72"/>
      <c r="Q94" s="72"/>
      <c r="R94" s="1"/>
    </row>
    <row r="95" spans="1:18" x14ac:dyDescent="0.15">
      <c r="Q95" s="72"/>
      <c r="R95" s="1"/>
    </row>
    <row r="96" spans="1:18" ht="14.25" x14ac:dyDescent="0.15">
      <c r="B96" s="156" t="s">
        <v>329</v>
      </c>
    </row>
    <row r="97" spans="16:19" ht="18" thickBot="1" x14ac:dyDescent="0.2">
      <c r="Q97" s="566" t="s">
        <v>327</v>
      </c>
    </row>
    <row r="98" spans="16:19" ht="36" customHeight="1" x14ac:dyDescent="0.15">
      <c r="Q98" s="639"/>
      <c r="R98" s="700" t="s">
        <v>313</v>
      </c>
      <c r="S98" s="702" t="s">
        <v>320</v>
      </c>
    </row>
    <row r="99" spans="16:19" x14ac:dyDescent="0.15">
      <c r="Q99" s="704"/>
      <c r="R99" s="701"/>
      <c r="S99" s="703"/>
    </row>
    <row r="100" spans="16:19" ht="14.25" thickBot="1" x14ac:dyDescent="0.2">
      <c r="Q100" s="640"/>
      <c r="R100" s="529"/>
      <c r="S100" s="526"/>
    </row>
    <row r="101" spans="16:19" ht="14.25" thickTop="1" x14ac:dyDescent="0.15">
      <c r="Q101" s="464" t="str">
        <f t="shared" ref="Q101:Q116" ca="1" si="4">B160</f>
        <v>Thread 0</v>
      </c>
      <c r="R101" s="550" t="e">
        <f t="shared" ref="R101:R116" ca="1" si="5">(S141-L141)/MAX(S$141:S$156)</f>
        <v>#DIV/0!</v>
      </c>
      <c r="S101" s="527" t="e">
        <f t="shared" ref="S101:S116" si="6">P77/MAX(P$77:P$92)</f>
        <v>#DIV/0!</v>
      </c>
    </row>
    <row r="102" spans="16:19" x14ac:dyDescent="0.15">
      <c r="Q102" s="5" t="str">
        <f t="shared" ca="1" si="4"/>
        <v>Thread 1</v>
      </c>
      <c r="R102" s="551" t="e">
        <f t="shared" ca="1" si="5"/>
        <v>#DIV/0!</v>
      </c>
      <c r="S102" s="461" t="e">
        <f t="shared" si="6"/>
        <v>#DIV/0!</v>
      </c>
    </row>
    <row r="103" spans="16:19" x14ac:dyDescent="0.15">
      <c r="Q103" s="5" t="str">
        <f t="shared" ca="1" si="4"/>
        <v>Thread 2</v>
      </c>
      <c r="R103" s="551" t="e">
        <f t="shared" ca="1" si="5"/>
        <v>#DIV/0!</v>
      </c>
      <c r="S103" s="461" t="e">
        <f t="shared" si="6"/>
        <v>#DIV/0!</v>
      </c>
    </row>
    <row r="104" spans="16:19" x14ac:dyDescent="0.15">
      <c r="Q104" s="5" t="str">
        <f t="shared" ca="1" si="4"/>
        <v>Thread 3</v>
      </c>
      <c r="R104" s="551" t="e">
        <f t="shared" ca="1" si="5"/>
        <v>#DIV/0!</v>
      </c>
      <c r="S104" s="461" t="e">
        <f t="shared" si="6"/>
        <v>#DIV/0!</v>
      </c>
    </row>
    <row r="105" spans="16:19" x14ac:dyDescent="0.15">
      <c r="Q105" s="5" t="str">
        <f t="shared" ca="1" si="4"/>
        <v>Thread 4</v>
      </c>
      <c r="R105" s="551" t="e">
        <f t="shared" ca="1" si="5"/>
        <v>#DIV/0!</v>
      </c>
      <c r="S105" s="461" t="e">
        <f t="shared" si="6"/>
        <v>#DIV/0!</v>
      </c>
    </row>
    <row r="106" spans="16:19" x14ac:dyDescent="0.15">
      <c r="Q106" s="5" t="str">
        <f t="shared" ca="1" si="4"/>
        <v>Thread 5</v>
      </c>
      <c r="R106" s="551" t="e">
        <f t="shared" ca="1" si="5"/>
        <v>#DIV/0!</v>
      </c>
      <c r="S106" s="461" t="e">
        <f t="shared" si="6"/>
        <v>#DIV/0!</v>
      </c>
    </row>
    <row r="107" spans="16:19" x14ac:dyDescent="0.15">
      <c r="P107" s="459"/>
      <c r="Q107" s="5" t="str">
        <f t="shared" ca="1" si="4"/>
        <v>Thread 6</v>
      </c>
      <c r="R107" s="551" t="e">
        <f t="shared" ca="1" si="5"/>
        <v>#DIV/0!</v>
      </c>
      <c r="S107" s="461" t="e">
        <f t="shared" si="6"/>
        <v>#DIV/0!</v>
      </c>
    </row>
    <row r="108" spans="16:19" x14ac:dyDescent="0.15">
      <c r="P108" s="459"/>
      <c r="Q108" s="5" t="str">
        <f t="shared" ca="1" si="4"/>
        <v>Thread 7</v>
      </c>
      <c r="R108" s="551" t="e">
        <f t="shared" ca="1" si="5"/>
        <v>#DIV/0!</v>
      </c>
      <c r="S108" s="461" t="e">
        <f t="shared" si="6"/>
        <v>#DIV/0!</v>
      </c>
    </row>
    <row r="109" spans="16:19" x14ac:dyDescent="0.15">
      <c r="P109" s="459"/>
      <c r="Q109" s="5" t="str">
        <f t="shared" ca="1" si="4"/>
        <v>Thread 8</v>
      </c>
      <c r="R109" s="551" t="e">
        <f t="shared" ca="1" si="5"/>
        <v>#DIV/0!</v>
      </c>
      <c r="S109" s="461" t="e">
        <f t="shared" si="6"/>
        <v>#DIV/0!</v>
      </c>
    </row>
    <row r="110" spans="16:19" x14ac:dyDescent="0.15">
      <c r="P110" s="459"/>
      <c r="Q110" s="5" t="str">
        <f t="shared" ca="1" si="4"/>
        <v>Thread 9</v>
      </c>
      <c r="R110" s="551" t="e">
        <f t="shared" ca="1" si="5"/>
        <v>#DIV/0!</v>
      </c>
      <c r="S110" s="461" t="e">
        <f t="shared" si="6"/>
        <v>#DIV/0!</v>
      </c>
    </row>
    <row r="111" spans="16:19" x14ac:dyDescent="0.15">
      <c r="P111" s="459"/>
      <c r="Q111" s="5" t="str">
        <f t="shared" ca="1" si="4"/>
        <v>Thread 10</v>
      </c>
      <c r="R111" s="551" t="e">
        <f t="shared" ca="1" si="5"/>
        <v>#DIV/0!</v>
      </c>
      <c r="S111" s="461" t="e">
        <f t="shared" si="6"/>
        <v>#DIV/0!</v>
      </c>
    </row>
    <row r="112" spans="16:19" x14ac:dyDescent="0.15">
      <c r="Q112" s="5" t="str">
        <f t="shared" ca="1" si="4"/>
        <v>Thread 11</v>
      </c>
      <c r="R112" s="551" t="e">
        <f t="shared" ca="1" si="5"/>
        <v>#DIV/0!</v>
      </c>
      <c r="S112" s="461" t="e">
        <f t="shared" si="6"/>
        <v>#DIV/0!</v>
      </c>
    </row>
    <row r="113" spans="17:19" x14ac:dyDescent="0.15">
      <c r="Q113" s="5" t="str">
        <f t="shared" ca="1" si="4"/>
        <v>Thread 12</v>
      </c>
      <c r="R113" s="551" t="e">
        <f t="shared" ca="1" si="5"/>
        <v>#DIV/0!</v>
      </c>
      <c r="S113" s="461" t="e">
        <f t="shared" si="6"/>
        <v>#DIV/0!</v>
      </c>
    </row>
    <row r="114" spans="17:19" x14ac:dyDescent="0.15">
      <c r="Q114" s="5" t="str">
        <f t="shared" ca="1" si="4"/>
        <v>Thread 13</v>
      </c>
      <c r="R114" s="551" t="e">
        <f t="shared" ca="1" si="5"/>
        <v>#DIV/0!</v>
      </c>
      <c r="S114" s="461" t="e">
        <f t="shared" si="6"/>
        <v>#DIV/0!</v>
      </c>
    </row>
    <row r="115" spans="17:19" x14ac:dyDescent="0.15">
      <c r="Q115" s="5" t="str">
        <f t="shared" ca="1" si="4"/>
        <v>Thread 14</v>
      </c>
      <c r="R115" s="551" t="e">
        <f t="shared" ca="1" si="5"/>
        <v>#DIV/0!</v>
      </c>
      <c r="S115" s="461" t="e">
        <f t="shared" si="6"/>
        <v>#DIV/0!</v>
      </c>
    </row>
    <row r="116" spans="17:19" ht="14.25" thickBot="1" x14ac:dyDescent="0.2">
      <c r="Q116" s="525" t="str">
        <f t="shared" ca="1" si="4"/>
        <v>Thread 15</v>
      </c>
      <c r="R116" s="552" t="e">
        <f t="shared" ca="1" si="5"/>
        <v>#DIV/0!</v>
      </c>
      <c r="S116" s="528" t="e">
        <f t="shared" si="6"/>
        <v>#DIV/0!</v>
      </c>
    </row>
    <row r="119" spans="17:19" ht="15" thickBot="1" x14ac:dyDescent="0.2">
      <c r="Q119" s="156" t="s">
        <v>333</v>
      </c>
    </row>
    <row r="120" spans="17:19" ht="14.25" thickBot="1" x14ac:dyDescent="0.2">
      <c r="Q120" s="568"/>
      <c r="R120" s="569" t="s">
        <v>334</v>
      </c>
    </row>
    <row r="121" spans="17:19" ht="14.25" thickTop="1" x14ac:dyDescent="0.15">
      <c r="Q121" s="570" t="str">
        <f ca="1">graph_data!D16</f>
        <v>Thread 0</v>
      </c>
      <c r="R121" s="571" t="str">
        <f>IF(ISERROR(data_FX10!T122/data_FX10!B145)=TRUE, "-",data_FX10!T122/data_FX10!B145)</f>
        <v>-</v>
      </c>
    </row>
    <row r="122" spans="17:19" x14ac:dyDescent="0.15">
      <c r="Q122" s="570" t="str">
        <f ca="1">graph_data!D17</f>
        <v>Thread 1</v>
      </c>
      <c r="R122" s="571" t="str">
        <f>IF(ISERROR(data_FX10!T123/data_FX10!B146)=TRUE, "-",data_FX10!T123/data_FX10!B146)</f>
        <v>-</v>
      </c>
    </row>
    <row r="123" spans="17:19" x14ac:dyDescent="0.15">
      <c r="Q123" s="570" t="str">
        <f ca="1">graph_data!D18</f>
        <v>Thread 2</v>
      </c>
      <c r="R123" s="571" t="str">
        <f>IF(ISERROR(data_FX10!T124/data_FX10!B147)=TRUE, "-",data_FX10!T124/data_FX10!B147)</f>
        <v>-</v>
      </c>
    </row>
    <row r="124" spans="17:19" x14ac:dyDescent="0.15">
      <c r="Q124" s="570" t="str">
        <f ca="1">graph_data!D19</f>
        <v>Thread 3</v>
      </c>
      <c r="R124" s="571" t="str">
        <f>IF(ISERROR(data_FX10!T125/data_FX10!B148)=TRUE, "-",data_FX10!T125/data_FX10!B148)</f>
        <v>-</v>
      </c>
    </row>
    <row r="125" spans="17:19" x14ac:dyDescent="0.15">
      <c r="Q125" s="570" t="str">
        <f ca="1">graph_data!D20</f>
        <v>Thread 4</v>
      </c>
      <c r="R125" s="571" t="str">
        <f>IF(ISERROR(data_FX10!T126/data_FX10!B149)=TRUE, "-",data_FX10!T126/data_FX10!B149)</f>
        <v>-</v>
      </c>
    </row>
    <row r="126" spans="17:19" x14ac:dyDescent="0.15">
      <c r="Q126" s="570" t="str">
        <f ca="1">graph_data!D21</f>
        <v>Thread 5</v>
      </c>
      <c r="R126" s="571" t="str">
        <f>IF(ISERROR(data_FX10!T127/data_FX10!B150)=TRUE, "-",data_FX10!T127/data_FX10!B150)</f>
        <v>-</v>
      </c>
    </row>
    <row r="127" spans="17:19" x14ac:dyDescent="0.15">
      <c r="Q127" s="570" t="str">
        <f ca="1">graph_data!D22</f>
        <v>Thread 6</v>
      </c>
      <c r="R127" s="571" t="str">
        <f>IF(ISERROR(data_FX10!T128/data_FX10!B151)=TRUE, "-",data_FX10!T128/data_FX10!B151)</f>
        <v>-</v>
      </c>
    </row>
    <row r="128" spans="17:19" x14ac:dyDescent="0.15">
      <c r="Q128" s="570" t="str">
        <f ca="1">graph_data!D23</f>
        <v>Thread 7</v>
      </c>
      <c r="R128" s="571" t="str">
        <f>IF(ISERROR(data_FX10!T129/data_FX10!B152)=TRUE, "-",data_FX10!T129/data_FX10!B152)</f>
        <v>-</v>
      </c>
    </row>
    <row r="129" spans="2:19" x14ac:dyDescent="0.15">
      <c r="Q129" s="570" t="str">
        <f ca="1">graph_data!D24</f>
        <v>Thread 8</v>
      </c>
      <c r="R129" s="571" t="str">
        <f>IF(ISERROR(data_FX10!T130/data_FX10!B153)=TRUE, "-",data_FX10!T130/data_FX10!B153)</f>
        <v>-</v>
      </c>
    </row>
    <row r="130" spans="2:19" x14ac:dyDescent="0.15">
      <c r="Q130" s="570" t="str">
        <f ca="1">graph_data!D25</f>
        <v>Thread 9</v>
      </c>
      <c r="R130" s="571" t="str">
        <f>IF(ISERROR(data_FX10!T131/data_FX10!B154)=TRUE, "-",data_FX10!T131/data_FX10!B154)</f>
        <v>-</v>
      </c>
    </row>
    <row r="131" spans="2:19" x14ac:dyDescent="0.15">
      <c r="Q131" s="570" t="str">
        <f ca="1">graph_data!D26</f>
        <v>Thread 10</v>
      </c>
      <c r="R131" s="571" t="str">
        <f>IF(ISERROR(data_FX10!T132/data_FX10!B155)=TRUE, "-",data_FX10!T132/data_FX10!B155)</f>
        <v>-</v>
      </c>
    </row>
    <row r="132" spans="2:19" x14ac:dyDescent="0.15">
      <c r="Q132" s="570" t="str">
        <f ca="1">graph_data!D27</f>
        <v>Thread 11</v>
      </c>
      <c r="R132" s="571" t="str">
        <f>IF(ISERROR(data_FX10!T133/data_FX10!B156)=TRUE, "-",data_FX10!T133/data_FX10!B156)</f>
        <v>-</v>
      </c>
    </row>
    <row r="133" spans="2:19" x14ac:dyDescent="0.15">
      <c r="Q133" s="570" t="str">
        <f ca="1">graph_data!D28</f>
        <v>Thread 12</v>
      </c>
      <c r="R133" s="571" t="str">
        <f>IF(ISERROR(data_FX10!T134/data_FX10!B157)=TRUE, "-",data_FX10!T134/data_FX10!B157)</f>
        <v>-</v>
      </c>
    </row>
    <row r="134" spans="2:19" x14ac:dyDescent="0.15">
      <c r="Q134" s="570" t="str">
        <f ca="1">graph_data!D29</f>
        <v>Thread 13</v>
      </c>
      <c r="R134" s="571" t="str">
        <f>IF(ISERROR(data_FX10!T135/data_FX10!B158)=TRUE, "-",data_FX10!T135/data_FX10!B158)</f>
        <v>-</v>
      </c>
    </row>
    <row r="135" spans="2:19" x14ac:dyDescent="0.15">
      <c r="Q135" s="570" t="str">
        <f ca="1">graph_data!D30</f>
        <v>Thread 14</v>
      </c>
      <c r="R135" s="571" t="str">
        <f>IF(ISERROR(data_FX10!T136/data_FX10!B159)=TRUE, "-",data_FX10!T136/data_FX10!B159)</f>
        <v>-</v>
      </c>
    </row>
    <row r="136" spans="2:19" ht="14.25" thickBot="1" x14ac:dyDescent="0.2">
      <c r="Q136" s="572" t="str">
        <f ca="1">graph_data!D31</f>
        <v>Thread 15</v>
      </c>
      <c r="R136" s="574" t="str">
        <f>IF(ISERROR(data_FX10!T137/data_FX10!B160)=TRUE, "-",data_FX10!T137/data_FX10!B160)</f>
        <v>-</v>
      </c>
    </row>
    <row r="138" spans="2:19" ht="21.75" customHeight="1" thickBot="1" x14ac:dyDescent="0.2">
      <c r="B138" s="566" t="s">
        <v>246</v>
      </c>
    </row>
    <row r="139" spans="2:19" ht="30" customHeight="1" x14ac:dyDescent="0.15">
      <c r="B139" s="6" t="s">
        <v>247</v>
      </c>
      <c r="C139" s="7" t="s">
        <v>267</v>
      </c>
      <c r="D139" s="7" t="s">
        <v>265</v>
      </c>
      <c r="E139" s="7" t="s">
        <v>23</v>
      </c>
      <c r="F139" s="7" t="s">
        <v>268</v>
      </c>
      <c r="G139" s="7" t="s">
        <v>266</v>
      </c>
      <c r="H139" s="7" t="s">
        <v>56</v>
      </c>
      <c r="I139" s="7" t="s">
        <v>57</v>
      </c>
      <c r="J139" s="7" t="s">
        <v>26</v>
      </c>
      <c r="K139" s="7" t="s">
        <v>27</v>
      </c>
      <c r="L139" s="7" t="s">
        <v>250</v>
      </c>
      <c r="M139" s="8" t="s">
        <v>21</v>
      </c>
      <c r="N139" s="7" t="s">
        <v>28</v>
      </c>
      <c r="O139" s="7" t="s">
        <v>29</v>
      </c>
      <c r="P139" s="7" t="s">
        <v>269</v>
      </c>
      <c r="Q139" s="9" t="s">
        <v>225</v>
      </c>
      <c r="R139" s="9" t="s">
        <v>32</v>
      </c>
      <c r="S139" s="10" t="s">
        <v>248</v>
      </c>
    </row>
    <row r="140" spans="2:19" ht="14.25" thickBot="1" x14ac:dyDescent="0.2">
      <c r="B140" s="11"/>
      <c r="C140" s="12"/>
      <c r="D140" s="13"/>
      <c r="E140" s="14"/>
      <c r="F140" s="15"/>
      <c r="G140" s="16"/>
      <c r="H140" s="17"/>
      <c r="I140" s="18"/>
      <c r="J140" s="19"/>
      <c r="K140" s="31"/>
      <c r="L140" s="20"/>
      <c r="M140" s="21"/>
      <c r="N140" s="22"/>
      <c r="O140" s="23"/>
      <c r="P140" s="456"/>
      <c r="Q140" s="25"/>
      <c r="R140" s="26"/>
      <c r="S140" s="27"/>
    </row>
    <row r="141" spans="2:19" ht="14.25" thickTop="1" x14ac:dyDescent="0.15">
      <c r="B141" s="32" t="str">
        <f ca="1">graph_data!D16</f>
        <v>Thread 0</v>
      </c>
      <c r="C141" s="33">
        <f ca="1">+graph_data!E16</f>
        <v>0</v>
      </c>
      <c r="D141" s="33">
        <f ca="1">+graph_data!F16</f>
        <v>0</v>
      </c>
      <c r="E141" s="33">
        <f ca="1">+graph_data!G16</f>
        <v>0</v>
      </c>
      <c r="F141" s="33">
        <f ca="1">+graph_data!I16</f>
        <v>0</v>
      </c>
      <c r="G141" s="33">
        <f ca="1">+graph_data!J16</f>
        <v>0</v>
      </c>
      <c r="H141" s="33">
        <f ca="1">+graph_data!K16</f>
        <v>0</v>
      </c>
      <c r="I141" s="33">
        <f ca="1">+graph_data!L16</f>
        <v>0</v>
      </c>
      <c r="J141" s="33">
        <f ca="1">+graph_data!M16</f>
        <v>0</v>
      </c>
      <c r="K141" s="33">
        <f ca="1">+graph_data!N16</f>
        <v>0</v>
      </c>
      <c r="L141" s="33">
        <f ca="1">+graph_data!O16</f>
        <v>0</v>
      </c>
      <c r="M141" s="33">
        <f ca="1">+graph_data!P16</f>
        <v>0</v>
      </c>
      <c r="N141" s="33">
        <f ca="1">+graph_data!Q16</f>
        <v>0</v>
      </c>
      <c r="O141" s="33">
        <f ca="1">+graph_data!R16</f>
        <v>0</v>
      </c>
      <c r="P141" s="33">
        <f ca="1">+graph_data!S16</f>
        <v>0</v>
      </c>
      <c r="Q141" s="33">
        <f ca="1">+graph_data!U16</f>
        <v>0</v>
      </c>
      <c r="R141" s="33">
        <f ca="1">+graph_data!V16</f>
        <v>0</v>
      </c>
      <c r="S141" s="34">
        <f ca="1">+graph_data!X16</f>
        <v>0</v>
      </c>
    </row>
    <row r="142" spans="2:19" x14ac:dyDescent="0.15">
      <c r="B142" s="35" t="str">
        <f ca="1">graph_data!D17</f>
        <v>Thread 1</v>
      </c>
      <c r="C142" s="38">
        <f ca="1">+graph_data!E17</f>
        <v>0</v>
      </c>
      <c r="D142" s="38">
        <f ca="1">+graph_data!F17</f>
        <v>0</v>
      </c>
      <c r="E142" s="38">
        <f ca="1">+graph_data!G17</f>
        <v>0</v>
      </c>
      <c r="F142" s="38">
        <f ca="1">+graph_data!I17</f>
        <v>0</v>
      </c>
      <c r="G142" s="38">
        <f ca="1">+graph_data!J17</f>
        <v>0</v>
      </c>
      <c r="H142" s="38">
        <f ca="1">+graph_data!K17</f>
        <v>0</v>
      </c>
      <c r="I142" s="38">
        <f ca="1">+graph_data!L17</f>
        <v>0</v>
      </c>
      <c r="J142" s="38">
        <f ca="1">+graph_data!M17</f>
        <v>0</v>
      </c>
      <c r="K142" s="38">
        <f ca="1">+graph_data!N17</f>
        <v>0</v>
      </c>
      <c r="L142" s="38">
        <f ca="1">+graph_data!O17</f>
        <v>0</v>
      </c>
      <c r="M142" s="38">
        <f ca="1">+graph_data!P17</f>
        <v>0</v>
      </c>
      <c r="N142" s="38">
        <f ca="1">+graph_data!Q17</f>
        <v>0</v>
      </c>
      <c r="O142" s="38">
        <f ca="1">+graph_data!R17</f>
        <v>0</v>
      </c>
      <c r="P142" s="38">
        <f ca="1">+graph_data!S17</f>
        <v>0</v>
      </c>
      <c r="Q142" s="38">
        <f ca="1">+graph_data!U17</f>
        <v>0</v>
      </c>
      <c r="R142" s="38">
        <f ca="1">+graph_data!V17</f>
        <v>0</v>
      </c>
      <c r="S142" s="39">
        <f ca="1">+graph_data!X17</f>
        <v>0</v>
      </c>
    </row>
    <row r="143" spans="2:19" x14ac:dyDescent="0.15">
      <c r="B143" s="35" t="str">
        <f ca="1">graph_data!D18</f>
        <v>Thread 2</v>
      </c>
      <c r="C143" s="38">
        <f ca="1">+graph_data!E18</f>
        <v>0</v>
      </c>
      <c r="D143" s="38">
        <f ca="1">+graph_data!F18</f>
        <v>0</v>
      </c>
      <c r="E143" s="38">
        <f ca="1">+graph_data!G18</f>
        <v>0</v>
      </c>
      <c r="F143" s="38">
        <f ca="1">+graph_data!I18</f>
        <v>0</v>
      </c>
      <c r="G143" s="38">
        <f ca="1">+graph_data!J18</f>
        <v>0</v>
      </c>
      <c r="H143" s="38">
        <f ca="1">+graph_data!K18</f>
        <v>0</v>
      </c>
      <c r="I143" s="38">
        <f ca="1">+graph_data!L18</f>
        <v>0</v>
      </c>
      <c r="J143" s="38">
        <f ca="1">+graph_data!M18</f>
        <v>0</v>
      </c>
      <c r="K143" s="38">
        <f ca="1">+graph_data!N18</f>
        <v>0</v>
      </c>
      <c r="L143" s="38">
        <f ca="1">+graph_data!O18</f>
        <v>0</v>
      </c>
      <c r="M143" s="38">
        <f ca="1">+graph_data!P18</f>
        <v>0</v>
      </c>
      <c r="N143" s="38">
        <f ca="1">+graph_data!Q18</f>
        <v>0</v>
      </c>
      <c r="O143" s="38">
        <f ca="1">+graph_data!R18</f>
        <v>0</v>
      </c>
      <c r="P143" s="38">
        <f ca="1">+graph_data!S18</f>
        <v>0</v>
      </c>
      <c r="Q143" s="38">
        <f ca="1">+graph_data!U18</f>
        <v>0</v>
      </c>
      <c r="R143" s="38">
        <f ca="1">+graph_data!V18</f>
        <v>0</v>
      </c>
      <c r="S143" s="39">
        <f ca="1">+graph_data!X18</f>
        <v>0</v>
      </c>
    </row>
    <row r="144" spans="2:19" x14ac:dyDescent="0.15">
      <c r="B144" s="35" t="str">
        <f ca="1">graph_data!D19</f>
        <v>Thread 3</v>
      </c>
      <c r="C144" s="38">
        <f ca="1">+graph_data!E19</f>
        <v>0</v>
      </c>
      <c r="D144" s="38">
        <f ca="1">+graph_data!F19</f>
        <v>0</v>
      </c>
      <c r="E144" s="38">
        <f ca="1">+graph_data!G19</f>
        <v>0</v>
      </c>
      <c r="F144" s="38">
        <f ca="1">+graph_data!I19</f>
        <v>0</v>
      </c>
      <c r="G144" s="38">
        <f ca="1">+graph_data!J19</f>
        <v>0</v>
      </c>
      <c r="H144" s="38">
        <f ca="1">+graph_data!K19</f>
        <v>0</v>
      </c>
      <c r="I144" s="38">
        <f ca="1">+graph_data!L19</f>
        <v>0</v>
      </c>
      <c r="J144" s="38">
        <f ca="1">+graph_data!M19</f>
        <v>0</v>
      </c>
      <c r="K144" s="38">
        <f ca="1">+graph_data!N19</f>
        <v>0</v>
      </c>
      <c r="L144" s="38">
        <f ca="1">+graph_data!O19</f>
        <v>0</v>
      </c>
      <c r="M144" s="38">
        <f ca="1">+graph_data!P19</f>
        <v>0</v>
      </c>
      <c r="N144" s="38">
        <f ca="1">+graph_data!Q19</f>
        <v>0</v>
      </c>
      <c r="O144" s="38">
        <f ca="1">+graph_data!R19</f>
        <v>0</v>
      </c>
      <c r="P144" s="38">
        <f ca="1">+graph_data!S19</f>
        <v>0</v>
      </c>
      <c r="Q144" s="38">
        <f ca="1">+graph_data!U19</f>
        <v>0</v>
      </c>
      <c r="R144" s="38">
        <f ca="1">+graph_data!V19</f>
        <v>0</v>
      </c>
      <c r="S144" s="39">
        <f ca="1">+graph_data!X19</f>
        <v>0</v>
      </c>
    </row>
    <row r="145" spans="2:19" x14ac:dyDescent="0.15">
      <c r="B145" s="35" t="str">
        <f ca="1">graph_data!D20</f>
        <v>Thread 4</v>
      </c>
      <c r="C145" s="38">
        <f ca="1">+graph_data!E20</f>
        <v>0</v>
      </c>
      <c r="D145" s="38">
        <f ca="1">+graph_data!F20</f>
        <v>0</v>
      </c>
      <c r="E145" s="38">
        <f ca="1">+graph_data!G20</f>
        <v>0</v>
      </c>
      <c r="F145" s="38">
        <f ca="1">+graph_data!I20</f>
        <v>0</v>
      </c>
      <c r="G145" s="38">
        <f ca="1">+graph_data!J20</f>
        <v>0</v>
      </c>
      <c r="H145" s="38">
        <f ca="1">+graph_data!K20</f>
        <v>0</v>
      </c>
      <c r="I145" s="38">
        <f ca="1">+graph_data!L20</f>
        <v>0</v>
      </c>
      <c r="J145" s="38">
        <f ca="1">+graph_data!M20</f>
        <v>0</v>
      </c>
      <c r="K145" s="38">
        <f ca="1">+graph_data!N20</f>
        <v>0</v>
      </c>
      <c r="L145" s="38">
        <f ca="1">+graph_data!O20</f>
        <v>0</v>
      </c>
      <c r="M145" s="38">
        <f ca="1">+graph_data!P20</f>
        <v>0</v>
      </c>
      <c r="N145" s="38">
        <f ca="1">+graph_data!Q20</f>
        <v>0</v>
      </c>
      <c r="O145" s="38">
        <f ca="1">+graph_data!R20</f>
        <v>0</v>
      </c>
      <c r="P145" s="38">
        <f ca="1">+graph_data!S20</f>
        <v>0</v>
      </c>
      <c r="Q145" s="38">
        <f ca="1">+graph_data!U20</f>
        <v>0</v>
      </c>
      <c r="R145" s="38">
        <f ca="1">+graph_data!V20</f>
        <v>0</v>
      </c>
      <c r="S145" s="39">
        <f ca="1">+graph_data!X20</f>
        <v>0</v>
      </c>
    </row>
    <row r="146" spans="2:19" x14ac:dyDescent="0.15">
      <c r="B146" s="35" t="str">
        <f ca="1">graph_data!D21</f>
        <v>Thread 5</v>
      </c>
      <c r="C146" s="38">
        <f ca="1">+graph_data!E21</f>
        <v>0</v>
      </c>
      <c r="D146" s="38">
        <f ca="1">+graph_data!F21</f>
        <v>0</v>
      </c>
      <c r="E146" s="38">
        <f ca="1">+graph_data!G21</f>
        <v>0</v>
      </c>
      <c r="F146" s="38">
        <f ca="1">+graph_data!I21</f>
        <v>0</v>
      </c>
      <c r="G146" s="38">
        <f ca="1">+graph_data!J21</f>
        <v>0</v>
      </c>
      <c r="H146" s="38">
        <f ca="1">+graph_data!K21</f>
        <v>0</v>
      </c>
      <c r="I146" s="38">
        <f ca="1">+graph_data!L21</f>
        <v>0</v>
      </c>
      <c r="J146" s="38">
        <f ca="1">+graph_data!M21</f>
        <v>0</v>
      </c>
      <c r="K146" s="38">
        <f ca="1">+graph_data!N21</f>
        <v>0</v>
      </c>
      <c r="L146" s="38">
        <f ca="1">+graph_data!O21</f>
        <v>0</v>
      </c>
      <c r="M146" s="38">
        <f ca="1">+graph_data!P21</f>
        <v>0</v>
      </c>
      <c r="N146" s="38">
        <f ca="1">+graph_data!Q21</f>
        <v>0</v>
      </c>
      <c r="O146" s="38">
        <f ca="1">+graph_data!R21</f>
        <v>0</v>
      </c>
      <c r="P146" s="38">
        <f ca="1">+graph_data!S21</f>
        <v>0</v>
      </c>
      <c r="Q146" s="38">
        <f ca="1">+graph_data!U21</f>
        <v>0</v>
      </c>
      <c r="R146" s="38">
        <f ca="1">+graph_data!V21</f>
        <v>0</v>
      </c>
      <c r="S146" s="39">
        <f ca="1">+graph_data!X21</f>
        <v>0</v>
      </c>
    </row>
    <row r="147" spans="2:19" x14ac:dyDescent="0.15">
      <c r="B147" s="35" t="str">
        <f ca="1">graph_data!D22</f>
        <v>Thread 6</v>
      </c>
      <c r="C147" s="38">
        <f ca="1">+graph_data!E22</f>
        <v>0</v>
      </c>
      <c r="D147" s="38">
        <f ca="1">+graph_data!F22</f>
        <v>0</v>
      </c>
      <c r="E147" s="38">
        <f ca="1">+graph_data!G22</f>
        <v>0</v>
      </c>
      <c r="F147" s="38">
        <f ca="1">+graph_data!I22</f>
        <v>0</v>
      </c>
      <c r="G147" s="38">
        <f ca="1">+graph_data!J22</f>
        <v>0</v>
      </c>
      <c r="H147" s="38">
        <f ca="1">+graph_data!K22</f>
        <v>0</v>
      </c>
      <c r="I147" s="38">
        <f ca="1">+graph_data!L22</f>
        <v>0</v>
      </c>
      <c r="J147" s="38">
        <f ca="1">+graph_data!M22</f>
        <v>0</v>
      </c>
      <c r="K147" s="38">
        <f ca="1">+graph_data!N22</f>
        <v>0</v>
      </c>
      <c r="L147" s="38">
        <f ca="1">+graph_data!O22</f>
        <v>0</v>
      </c>
      <c r="M147" s="38">
        <f ca="1">+graph_data!P22</f>
        <v>0</v>
      </c>
      <c r="N147" s="38">
        <f ca="1">+graph_data!Q22</f>
        <v>0</v>
      </c>
      <c r="O147" s="38">
        <f ca="1">+graph_data!R22</f>
        <v>0</v>
      </c>
      <c r="P147" s="38">
        <f ca="1">+graph_data!S22</f>
        <v>0</v>
      </c>
      <c r="Q147" s="38">
        <f ca="1">+graph_data!U22</f>
        <v>0</v>
      </c>
      <c r="R147" s="38">
        <f ca="1">+graph_data!V22</f>
        <v>0</v>
      </c>
      <c r="S147" s="39">
        <f ca="1">+graph_data!X22</f>
        <v>0</v>
      </c>
    </row>
    <row r="148" spans="2:19" x14ac:dyDescent="0.15">
      <c r="B148" s="35" t="str">
        <f ca="1">graph_data!D23</f>
        <v>Thread 7</v>
      </c>
      <c r="C148" s="38">
        <f ca="1">+graph_data!E23</f>
        <v>0</v>
      </c>
      <c r="D148" s="38">
        <f ca="1">+graph_data!F23</f>
        <v>0</v>
      </c>
      <c r="E148" s="38">
        <f ca="1">+graph_data!G23</f>
        <v>0</v>
      </c>
      <c r="F148" s="38">
        <f ca="1">+graph_data!I23</f>
        <v>0</v>
      </c>
      <c r="G148" s="38">
        <f ca="1">+graph_data!J23</f>
        <v>0</v>
      </c>
      <c r="H148" s="38">
        <f ca="1">+graph_data!K23</f>
        <v>0</v>
      </c>
      <c r="I148" s="38">
        <f ca="1">+graph_data!L23</f>
        <v>0</v>
      </c>
      <c r="J148" s="38">
        <f ca="1">+graph_data!M23</f>
        <v>0</v>
      </c>
      <c r="K148" s="38">
        <f ca="1">+graph_data!N23</f>
        <v>0</v>
      </c>
      <c r="L148" s="38">
        <f ca="1">+graph_data!O23</f>
        <v>0</v>
      </c>
      <c r="M148" s="38">
        <f ca="1">+graph_data!P23</f>
        <v>0</v>
      </c>
      <c r="N148" s="38">
        <f ca="1">+graph_data!Q23</f>
        <v>0</v>
      </c>
      <c r="O148" s="38">
        <f ca="1">+graph_data!R23</f>
        <v>0</v>
      </c>
      <c r="P148" s="38">
        <f ca="1">+graph_data!S23</f>
        <v>0</v>
      </c>
      <c r="Q148" s="38">
        <f ca="1">+graph_data!U23</f>
        <v>0</v>
      </c>
      <c r="R148" s="38">
        <f ca="1">+graph_data!V23</f>
        <v>0</v>
      </c>
      <c r="S148" s="39">
        <f ca="1">+graph_data!X23</f>
        <v>0</v>
      </c>
    </row>
    <row r="149" spans="2:19" x14ac:dyDescent="0.15">
      <c r="B149" s="511" t="str">
        <f ca="1">graph_data!D24</f>
        <v>Thread 8</v>
      </c>
      <c r="C149" s="512">
        <f ca="1">+graph_data!E24</f>
        <v>0</v>
      </c>
      <c r="D149" s="512">
        <f ca="1">+graph_data!F24</f>
        <v>0</v>
      </c>
      <c r="E149" s="512">
        <f ca="1">+graph_data!G24</f>
        <v>0</v>
      </c>
      <c r="F149" s="512">
        <f ca="1">+graph_data!I24</f>
        <v>0</v>
      </c>
      <c r="G149" s="512">
        <f ca="1">+graph_data!J24</f>
        <v>0</v>
      </c>
      <c r="H149" s="512">
        <f ca="1">+graph_data!K24</f>
        <v>0</v>
      </c>
      <c r="I149" s="512">
        <f ca="1">+graph_data!L24</f>
        <v>0</v>
      </c>
      <c r="J149" s="512">
        <f ca="1">+graph_data!M24</f>
        <v>0</v>
      </c>
      <c r="K149" s="512">
        <f ca="1">+graph_data!N24</f>
        <v>0</v>
      </c>
      <c r="L149" s="512">
        <f ca="1">+graph_data!O24</f>
        <v>0</v>
      </c>
      <c r="M149" s="512">
        <f ca="1">+graph_data!P24</f>
        <v>0</v>
      </c>
      <c r="N149" s="512">
        <f ca="1">+graph_data!Q24</f>
        <v>0</v>
      </c>
      <c r="O149" s="512">
        <f ca="1">+graph_data!R24</f>
        <v>0</v>
      </c>
      <c r="P149" s="512">
        <f ca="1">+graph_data!S24</f>
        <v>0</v>
      </c>
      <c r="Q149" s="512">
        <f ca="1">+graph_data!U24</f>
        <v>0</v>
      </c>
      <c r="R149" s="512">
        <f ca="1">+graph_data!V24</f>
        <v>0</v>
      </c>
      <c r="S149" s="513">
        <f ca="1">+graph_data!X24</f>
        <v>0</v>
      </c>
    </row>
    <row r="150" spans="2:19" x14ac:dyDescent="0.15">
      <c r="B150" s="35" t="str">
        <f ca="1">graph_data!D25</f>
        <v>Thread 9</v>
      </c>
      <c r="C150" s="38">
        <f ca="1">+graph_data!E25</f>
        <v>0</v>
      </c>
      <c r="D150" s="38">
        <f ca="1">+graph_data!F25</f>
        <v>0</v>
      </c>
      <c r="E150" s="38">
        <f ca="1">+graph_data!G25</f>
        <v>0</v>
      </c>
      <c r="F150" s="38">
        <f ca="1">+graph_data!I25</f>
        <v>0</v>
      </c>
      <c r="G150" s="38">
        <f ca="1">+graph_data!J25</f>
        <v>0</v>
      </c>
      <c r="H150" s="38">
        <f ca="1">+graph_data!K25</f>
        <v>0</v>
      </c>
      <c r="I150" s="38">
        <f ca="1">+graph_data!L25</f>
        <v>0</v>
      </c>
      <c r="J150" s="38">
        <f ca="1">+graph_data!M25</f>
        <v>0</v>
      </c>
      <c r="K150" s="38">
        <f ca="1">+graph_data!N25</f>
        <v>0</v>
      </c>
      <c r="L150" s="38">
        <f ca="1">+graph_data!O25</f>
        <v>0</v>
      </c>
      <c r="M150" s="38">
        <f ca="1">+graph_data!P25</f>
        <v>0</v>
      </c>
      <c r="N150" s="38">
        <f ca="1">+graph_data!Q25</f>
        <v>0</v>
      </c>
      <c r="O150" s="38">
        <f ca="1">+graph_data!R25</f>
        <v>0</v>
      </c>
      <c r="P150" s="38">
        <f ca="1">+graph_data!S25</f>
        <v>0</v>
      </c>
      <c r="Q150" s="38">
        <f ca="1">+graph_data!U25</f>
        <v>0</v>
      </c>
      <c r="R150" s="38">
        <f ca="1">+graph_data!V25</f>
        <v>0</v>
      </c>
      <c r="S150" s="39">
        <f ca="1">+graph_data!X25</f>
        <v>0</v>
      </c>
    </row>
    <row r="151" spans="2:19" x14ac:dyDescent="0.15">
      <c r="B151" s="35" t="str">
        <f ca="1">graph_data!D26</f>
        <v>Thread 10</v>
      </c>
      <c r="C151" s="38">
        <f ca="1">+graph_data!E26</f>
        <v>0</v>
      </c>
      <c r="D151" s="38">
        <f ca="1">+graph_data!F26</f>
        <v>0</v>
      </c>
      <c r="E151" s="38">
        <f ca="1">+graph_data!G26</f>
        <v>0</v>
      </c>
      <c r="F151" s="38">
        <f ca="1">+graph_data!I26</f>
        <v>0</v>
      </c>
      <c r="G151" s="38">
        <f ca="1">+graph_data!J26</f>
        <v>0</v>
      </c>
      <c r="H151" s="38">
        <f ca="1">+graph_data!K26</f>
        <v>0</v>
      </c>
      <c r="I151" s="38">
        <f ca="1">+graph_data!L26</f>
        <v>0</v>
      </c>
      <c r="J151" s="38">
        <f ca="1">+graph_data!M26</f>
        <v>0</v>
      </c>
      <c r="K151" s="38">
        <f ca="1">+graph_data!N26</f>
        <v>0</v>
      </c>
      <c r="L151" s="38">
        <f ca="1">+graph_data!O26</f>
        <v>0</v>
      </c>
      <c r="M151" s="38">
        <f ca="1">+graph_data!P26</f>
        <v>0</v>
      </c>
      <c r="N151" s="38">
        <f ca="1">+graph_data!Q26</f>
        <v>0</v>
      </c>
      <c r="O151" s="38">
        <f ca="1">+graph_data!R26</f>
        <v>0</v>
      </c>
      <c r="P151" s="38">
        <f ca="1">+graph_data!S26</f>
        <v>0</v>
      </c>
      <c r="Q151" s="38">
        <f ca="1">+graph_data!U26</f>
        <v>0</v>
      </c>
      <c r="R151" s="38">
        <f ca="1">+graph_data!V26</f>
        <v>0</v>
      </c>
      <c r="S151" s="39">
        <f ca="1">+graph_data!X26</f>
        <v>0</v>
      </c>
    </row>
    <row r="152" spans="2:19" x14ac:dyDescent="0.15">
      <c r="B152" s="35" t="str">
        <f ca="1">graph_data!D27</f>
        <v>Thread 11</v>
      </c>
      <c r="C152" s="38">
        <f ca="1">+graph_data!E27</f>
        <v>0</v>
      </c>
      <c r="D152" s="38">
        <f ca="1">+graph_data!F27</f>
        <v>0</v>
      </c>
      <c r="E152" s="38">
        <f ca="1">+graph_data!G27</f>
        <v>0</v>
      </c>
      <c r="F152" s="38">
        <f ca="1">+graph_data!I27</f>
        <v>0</v>
      </c>
      <c r="G152" s="38">
        <f ca="1">+graph_data!J27</f>
        <v>0</v>
      </c>
      <c r="H152" s="38">
        <f ca="1">+graph_data!K27</f>
        <v>0</v>
      </c>
      <c r="I152" s="38">
        <f ca="1">+graph_data!L27</f>
        <v>0</v>
      </c>
      <c r="J152" s="38">
        <f ca="1">+graph_data!M27</f>
        <v>0</v>
      </c>
      <c r="K152" s="38">
        <f ca="1">+graph_data!N27</f>
        <v>0</v>
      </c>
      <c r="L152" s="38">
        <f ca="1">+graph_data!O27</f>
        <v>0</v>
      </c>
      <c r="M152" s="38">
        <f ca="1">+graph_data!P27</f>
        <v>0</v>
      </c>
      <c r="N152" s="38">
        <f ca="1">+graph_data!Q27</f>
        <v>0</v>
      </c>
      <c r="O152" s="38">
        <f ca="1">+graph_data!R27</f>
        <v>0</v>
      </c>
      <c r="P152" s="38">
        <f ca="1">+graph_data!S27</f>
        <v>0</v>
      </c>
      <c r="Q152" s="38">
        <f ca="1">+graph_data!U27</f>
        <v>0</v>
      </c>
      <c r="R152" s="38">
        <f ca="1">+graph_data!V27</f>
        <v>0</v>
      </c>
      <c r="S152" s="39">
        <f ca="1">+graph_data!X27</f>
        <v>0</v>
      </c>
    </row>
    <row r="153" spans="2:19" x14ac:dyDescent="0.15">
      <c r="B153" s="35" t="str">
        <f ca="1">graph_data!D28</f>
        <v>Thread 12</v>
      </c>
      <c r="C153" s="38">
        <f ca="1">+graph_data!E28</f>
        <v>0</v>
      </c>
      <c r="D153" s="38">
        <f ca="1">+graph_data!F28</f>
        <v>0</v>
      </c>
      <c r="E153" s="38">
        <f ca="1">+graph_data!G28</f>
        <v>0</v>
      </c>
      <c r="F153" s="38">
        <f ca="1">+graph_data!I28</f>
        <v>0</v>
      </c>
      <c r="G153" s="38">
        <f ca="1">+graph_data!J28</f>
        <v>0</v>
      </c>
      <c r="H153" s="38">
        <f ca="1">+graph_data!K28</f>
        <v>0</v>
      </c>
      <c r="I153" s="38">
        <f ca="1">+graph_data!L28</f>
        <v>0</v>
      </c>
      <c r="J153" s="38">
        <f ca="1">+graph_data!M28</f>
        <v>0</v>
      </c>
      <c r="K153" s="38">
        <f ca="1">+graph_data!N28</f>
        <v>0</v>
      </c>
      <c r="L153" s="38">
        <f ca="1">+graph_data!O28</f>
        <v>0</v>
      </c>
      <c r="M153" s="38">
        <f ca="1">+graph_data!P28</f>
        <v>0</v>
      </c>
      <c r="N153" s="38">
        <f ca="1">+graph_data!Q28</f>
        <v>0</v>
      </c>
      <c r="O153" s="38">
        <f ca="1">+graph_data!R28</f>
        <v>0</v>
      </c>
      <c r="P153" s="38">
        <f ca="1">+graph_data!S28</f>
        <v>0</v>
      </c>
      <c r="Q153" s="38">
        <f ca="1">+graph_data!U28</f>
        <v>0</v>
      </c>
      <c r="R153" s="38">
        <f ca="1">+graph_data!V28</f>
        <v>0</v>
      </c>
      <c r="S153" s="39">
        <f ca="1">+graph_data!X28</f>
        <v>0</v>
      </c>
    </row>
    <row r="154" spans="2:19" x14ac:dyDescent="0.15">
      <c r="B154" s="35" t="str">
        <f ca="1">graph_data!D29</f>
        <v>Thread 13</v>
      </c>
      <c r="C154" s="38">
        <f ca="1">+graph_data!E29</f>
        <v>0</v>
      </c>
      <c r="D154" s="38">
        <f ca="1">+graph_data!F29</f>
        <v>0</v>
      </c>
      <c r="E154" s="38">
        <f ca="1">+graph_data!G29</f>
        <v>0</v>
      </c>
      <c r="F154" s="38">
        <f ca="1">+graph_data!I29</f>
        <v>0</v>
      </c>
      <c r="G154" s="38">
        <f ca="1">+graph_data!J29</f>
        <v>0</v>
      </c>
      <c r="H154" s="38">
        <f ca="1">+graph_data!K29</f>
        <v>0</v>
      </c>
      <c r="I154" s="38">
        <f ca="1">+graph_data!L29</f>
        <v>0</v>
      </c>
      <c r="J154" s="38">
        <f ca="1">+graph_data!M29</f>
        <v>0</v>
      </c>
      <c r="K154" s="38">
        <f ca="1">+graph_data!N29</f>
        <v>0</v>
      </c>
      <c r="L154" s="38">
        <f ca="1">+graph_data!O29</f>
        <v>0</v>
      </c>
      <c r="M154" s="38">
        <f ca="1">+graph_data!P29</f>
        <v>0</v>
      </c>
      <c r="N154" s="38">
        <f ca="1">+graph_data!Q29</f>
        <v>0</v>
      </c>
      <c r="O154" s="38">
        <f ca="1">+graph_data!R29</f>
        <v>0</v>
      </c>
      <c r="P154" s="38">
        <f ca="1">+graph_data!S29</f>
        <v>0</v>
      </c>
      <c r="Q154" s="38">
        <f ca="1">+graph_data!U29</f>
        <v>0</v>
      </c>
      <c r="R154" s="38">
        <f ca="1">+graph_data!V29</f>
        <v>0</v>
      </c>
      <c r="S154" s="39">
        <f ca="1">+graph_data!X29</f>
        <v>0</v>
      </c>
    </row>
    <row r="155" spans="2:19" x14ac:dyDescent="0.15">
      <c r="B155" s="35" t="str">
        <f ca="1">graph_data!D30</f>
        <v>Thread 14</v>
      </c>
      <c r="C155" s="38">
        <f ca="1">+graph_data!E30</f>
        <v>0</v>
      </c>
      <c r="D155" s="38">
        <f ca="1">+graph_data!F30</f>
        <v>0</v>
      </c>
      <c r="E155" s="38">
        <f ca="1">+graph_data!G30</f>
        <v>0</v>
      </c>
      <c r="F155" s="38">
        <f ca="1">+graph_data!I30</f>
        <v>0</v>
      </c>
      <c r="G155" s="38">
        <f ca="1">+graph_data!J30</f>
        <v>0</v>
      </c>
      <c r="H155" s="38">
        <f ca="1">+graph_data!K30</f>
        <v>0</v>
      </c>
      <c r="I155" s="38">
        <f ca="1">+graph_data!L30</f>
        <v>0</v>
      </c>
      <c r="J155" s="38">
        <f ca="1">+graph_data!M30</f>
        <v>0</v>
      </c>
      <c r="K155" s="38">
        <f ca="1">+graph_data!N30</f>
        <v>0</v>
      </c>
      <c r="L155" s="38">
        <f ca="1">+graph_data!O30</f>
        <v>0</v>
      </c>
      <c r="M155" s="38">
        <f ca="1">+graph_data!P30</f>
        <v>0</v>
      </c>
      <c r="N155" s="38">
        <f ca="1">+graph_data!Q30</f>
        <v>0</v>
      </c>
      <c r="O155" s="38">
        <f ca="1">+graph_data!R30</f>
        <v>0</v>
      </c>
      <c r="P155" s="38">
        <f ca="1">+graph_data!S30</f>
        <v>0</v>
      </c>
      <c r="Q155" s="38">
        <f ca="1">+graph_data!U30</f>
        <v>0</v>
      </c>
      <c r="R155" s="38">
        <f ca="1">+graph_data!V30</f>
        <v>0</v>
      </c>
      <c r="S155" s="39">
        <f ca="1">+graph_data!X30</f>
        <v>0</v>
      </c>
    </row>
    <row r="156" spans="2:19" ht="14.25" thickBot="1" x14ac:dyDescent="0.2">
      <c r="B156" s="40" t="str">
        <f ca="1">graph_data!D31</f>
        <v>Thread 15</v>
      </c>
      <c r="C156" s="41">
        <f ca="1">+graph_data!E31</f>
        <v>0</v>
      </c>
      <c r="D156" s="41">
        <f ca="1">+graph_data!F31</f>
        <v>0</v>
      </c>
      <c r="E156" s="41">
        <f ca="1">+graph_data!G31</f>
        <v>0</v>
      </c>
      <c r="F156" s="41">
        <f ca="1">+graph_data!I31</f>
        <v>0</v>
      </c>
      <c r="G156" s="41">
        <f ca="1">+graph_data!J31</f>
        <v>0</v>
      </c>
      <c r="H156" s="41">
        <f ca="1">+graph_data!K31</f>
        <v>0</v>
      </c>
      <c r="I156" s="41">
        <f ca="1">+graph_data!L31</f>
        <v>0</v>
      </c>
      <c r="J156" s="41">
        <f ca="1">+graph_data!M31</f>
        <v>0</v>
      </c>
      <c r="K156" s="41">
        <f ca="1">+graph_data!N31</f>
        <v>0</v>
      </c>
      <c r="L156" s="41">
        <f ca="1">+graph_data!O31</f>
        <v>0</v>
      </c>
      <c r="M156" s="41">
        <f ca="1">+graph_data!P31</f>
        <v>0</v>
      </c>
      <c r="N156" s="41">
        <f ca="1">+graph_data!Q31</f>
        <v>0</v>
      </c>
      <c r="O156" s="41">
        <f ca="1">+graph_data!R31</f>
        <v>0</v>
      </c>
      <c r="P156" s="41">
        <f ca="1">+graph_data!S31</f>
        <v>0</v>
      </c>
      <c r="Q156" s="41">
        <f ca="1">+graph_data!U31</f>
        <v>0</v>
      </c>
      <c r="R156" s="41">
        <f ca="1">+graph_data!V31</f>
        <v>0</v>
      </c>
      <c r="S156" s="42">
        <f ca="1">+graph_data!X31</f>
        <v>0</v>
      </c>
    </row>
    <row r="157" spans="2:19" ht="14.25" thickBot="1" x14ac:dyDescent="0.2">
      <c r="N157" s="28"/>
      <c r="O157" s="28"/>
      <c r="P157" s="28"/>
      <c r="Q157" s="28"/>
    </row>
    <row r="158" spans="2:19" ht="33" customHeight="1" x14ac:dyDescent="0.15">
      <c r="B158" s="6" t="s">
        <v>249</v>
      </c>
      <c r="C158" s="7" t="str">
        <f t="shared" ref="C158:K158" si="7">C139</f>
        <v>整数ﾛｰﾄﾞ
ﾒﾓﾘｱｸｾｽ待ち</v>
      </c>
      <c r="D158" s="7" t="str">
        <f t="shared" si="7"/>
        <v>浮動小数点ﾛｰﾄﾞ
ﾒﾓﾘｱｸｾｽ待ち</v>
      </c>
      <c r="E158" s="7" t="str">
        <f t="shared" si="7"/>
        <v>ストア待ち</v>
      </c>
      <c r="F158" s="7" t="str">
        <f t="shared" si="7"/>
        <v>整数ﾛｰﾄﾞ
ｷｬｯｼｭｱｸｾｽ待ち</v>
      </c>
      <c r="G158" s="7" t="str">
        <f t="shared" si="7"/>
        <v>浮動小数点ﾛｰﾄﾞ
ｷｬｯｼｭｱｸｾｽ待ち</v>
      </c>
      <c r="H158" s="7" t="str">
        <f t="shared" si="7"/>
        <v>整数演算待ち</v>
      </c>
      <c r="I158" s="7" t="str">
        <f t="shared" si="7"/>
        <v>浮動小数点演算待ち</v>
      </c>
      <c r="J158" s="7" t="str">
        <f t="shared" si="7"/>
        <v>分岐命令待ち</v>
      </c>
      <c r="K158" s="7" t="str">
        <f t="shared" si="7"/>
        <v>命令フェッチ待ち</v>
      </c>
      <c r="L158" s="7" t="s">
        <v>250</v>
      </c>
      <c r="M158" s="7" t="str">
        <f t="shared" ref="M158:R158" si="8">M139</f>
        <v>uOPコミット</v>
      </c>
      <c r="N158" s="7" t="str">
        <f t="shared" si="8"/>
        <v>その他の待ち</v>
      </c>
      <c r="O158" s="7" t="str">
        <f t="shared" si="8"/>
        <v>1命令コミット</v>
      </c>
      <c r="P158" s="7" t="str">
        <f t="shared" si="8"/>
        <v>整数レジスタ
書き込み制約</v>
      </c>
      <c r="Q158" s="7" t="str">
        <f t="shared" si="8"/>
        <v>2/3命令コミット</v>
      </c>
      <c r="R158" s="7" t="str">
        <f t="shared" si="8"/>
        <v>4命令コミット</v>
      </c>
      <c r="S158" s="10" t="s">
        <v>248</v>
      </c>
    </row>
    <row r="159" spans="2:19" ht="14.25" thickBot="1" x14ac:dyDescent="0.2">
      <c r="B159" s="11"/>
      <c r="C159" s="12"/>
      <c r="D159" s="13"/>
      <c r="E159" s="14"/>
      <c r="F159" s="15"/>
      <c r="G159" s="16"/>
      <c r="H159" s="17"/>
      <c r="I159" s="18"/>
      <c r="J159" s="19"/>
      <c r="K159" s="31"/>
      <c r="L159" s="20"/>
      <c r="M159" s="21"/>
      <c r="N159" s="22"/>
      <c r="O159" s="23"/>
      <c r="P159" s="24"/>
      <c r="Q159" s="25"/>
      <c r="R159" s="26"/>
      <c r="S159" s="27"/>
    </row>
    <row r="160" spans="2:19" ht="14.25" thickTop="1" x14ac:dyDescent="0.15">
      <c r="B160" s="136" t="str">
        <f ca="1">graph_data!D16</f>
        <v>Thread 0</v>
      </c>
      <c r="C160" s="29" t="e">
        <f t="shared" ref="C160:R160" ca="1" si="9">+C141/$S141</f>
        <v>#DIV/0!</v>
      </c>
      <c r="D160" s="29" t="e">
        <f t="shared" ca="1" si="9"/>
        <v>#DIV/0!</v>
      </c>
      <c r="E160" s="29" t="e">
        <f t="shared" ca="1" si="9"/>
        <v>#DIV/0!</v>
      </c>
      <c r="F160" s="29" t="e">
        <f t="shared" ca="1" si="9"/>
        <v>#DIV/0!</v>
      </c>
      <c r="G160" s="29" t="e">
        <f t="shared" ca="1" si="9"/>
        <v>#DIV/0!</v>
      </c>
      <c r="H160" s="29" t="e">
        <f t="shared" ca="1" si="9"/>
        <v>#DIV/0!</v>
      </c>
      <c r="I160" s="29" t="e">
        <f t="shared" ca="1" si="9"/>
        <v>#DIV/0!</v>
      </c>
      <c r="J160" s="29" t="e">
        <f t="shared" ca="1" si="9"/>
        <v>#DIV/0!</v>
      </c>
      <c r="K160" s="29" t="e">
        <f t="shared" ca="1" si="9"/>
        <v>#DIV/0!</v>
      </c>
      <c r="L160" s="29" t="e">
        <f t="shared" ca="1" si="9"/>
        <v>#DIV/0!</v>
      </c>
      <c r="M160" s="29" t="e">
        <f t="shared" ca="1" si="9"/>
        <v>#DIV/0!</v>
      </c>
      <c r="N160" s="29" t="e">
        <f t="shared" ca="1" si="9"/>
        <v>#DIV/0!</v>
      </c>
      <c r="O160" s="29" t="e">
        <f t="shared" ca="1" si="9"/>
        <v>#DIV/0!</v>
      </c>
      <c r="P160" s="29" t="e">
        <f t="shared" ca="1" si="9"/>
        <v>#DIV/0!</v>
      </c>
      <c r="Q160" s="29" t="e">
        <f t="shared" ca="1" si="9"/>
        <v>#DIV/0!</v>
      </c>
      <c r="R160" s="29" t="e">
        <f t="shared" ca="1" si="9"/>
        <v>#DIV/0!</v>
      </c>
      <c r="S160" s="36" t="e">
        <f t="shared" ref="S160:S167" ca="1" si="10">SUM(C160:R160)</f>
        <v>#DIV/0!</v>
      </c>
    </row>
    <row r="161" spans="2:19" x14ac:dyDescent="0.15">
      <c r="B161" s="137" t="str">
        <f ca="1">graph_data!D17</f>
        <v>Thread 1</v>
      </c>
      <c r="C161" s="29" t="e">
        <f t="shared" ref="C161:R161" ca="1" si="11">+C142/$S142</f>
        <v>#DIV/0!</v>
      </c>
      <c r="D161" s="29" t="e">
        <f t="shared" ca="1" si="11"/>
        <v>#DIV/0!</v>
      </c>
      <c r="E161" s="29" t="e">
        <f t="shared" ca="1" si="11"/>
        <v>#DIV/0!</v>
      </c>
      <c r="F161" s="29" t="e">
        <f t="shared" ca="1" si="11"/>
        <v>#DIV/0!</v>
      </c>
      <c r="G161" s="29" t="e">
        <f t="shared" ca="1" si="11"/>
        <v>#DIV/0!</v>
      </c>
      <c r="H161" s="29" t="e">
        <f t="shared" ca="1" si="11"/>
        <v>#DIV/0!</v>
      </c>
      <c r="I161" s="29" t="e">
        <f t="shared" ca="1" si="11"/>
        <v>#DIV/0!</v>
      </c>
      <c r="J161" s="29" t="e">
        <f t="shared" ca="1" si="11"/>
        <v>#DIV/0!</v>
      </c>
      <c r="K161" s="29" t="e">
        <f t="shared" ca="1" si="11"/>
        <v>#DIV/0!</v>
      </c>
      <c r="L161" s="29" t="e">
        <f t="shared" ca="1" si="11"/>
        <v>#DIV/0!</v>
      </c>
      <c r="M161" s="29" t="e">
        <f t="shared" ca="1" si="11"/>
        <v>#DIV/0!</v>
      </c>
      <c r="N161" s="29" t="e">
        <f t="shared" ca="1" si="11"/>
        <v>#DIV/0!</v>
      </c>
      <c r="O161" s="29" t="e">
        <f t="shared" ca="1" si="11"/>
        <v>#DIV/0!</v>
      </c>
      <c r="P161" s="29" t="e">
        <f t="shared" ca="1" si="11"/>
        <v>#DIV/0!</v>
      </c>
      <c r="Q161" s="29" t="e">
        <f t="shared" ca="1" si="11"/>
        <v>#DIV/0!</v>
      </c>
      <c r="R161" s="29" t="e">
        <f t="shared" ca="1" si="11"/>
        <v>#DIV/0!</v>
      </c>
      <c r="S161" s="36" t="e">
        <f t="shared" ca="1" si="10"/>
        <v>#DIV/0!</v>
      </c>
    </row>
    <row r="162" spans="2:19" x14ac:dyDescent="0.15">
      <c r="B162" s="137" t="str">
        <f ca="1">graph_data!D18</f>
        <v>Thread 2</v>
      </c>
      <c r="C162" s="29" t="e">
        <f t="shared" ref="C162:R162" ca="1" si="12">+C143/$S143</f>
        <v>#DIV/0!</v>
      </c>
      <c r="D162" s="29" t="e">
        <f t="shared" ca="1" si="12"/>
        <v>#DIV/0!</v>
      </c>
      <c r="E162" s="29" t="e">
        <f t="shared" ca="1" si="12"/>
        <v>#DIV/0!</v>
      </c>
      <c r="F162" s="29" t="e">
        <f t="shared" ca="1" si="12"/>
        <v>#DIV/0!</v>
      </c>
      <c r="G162" s="29" t="e">
        <f t="shared" ca="1" si="12"/>
        <v>#DIV/0!</v>
      </c>
      <c r="H162" s="29" t="e">
        <f t="shared" ca="1" si="12"/>
        <v>#DIV/0!</v>
      </c>
      <c r="I162" s="29" t="e">
        <f t="shared" ca="1" si="12"/>
        <v>#DIV/0!</v>
      </c>
      <c r="J162" s="29" t="e">
        <f t="shared" ca="1" si="12"/>
        <v>#DIV/0!</v>
      </c>
      <c r="K162" s="29" t="e">
        <f t="shared" ca="1" si="12"/>
        <v>#DIV/0!</v>
      </c>
      <c r="L162" s="29" t="e">
        <f t="shared" ca="1" si="12"/>
        <v>#DIV/0!</v>
      </c>
      <c r="M162" s="29" t="e">
        <f t="shared" ca="1" si="12"/>
        <v>#DIV/0!</v>
      </c>
      <c r="N162" s="29" t="e">
        <f t="shared" ca="1" si="12"/>
        <v>#DIV/0!</v>
      </c>
      <c r="O162" s="29" t="e">
        <f t="shared" ca="1" si="12"/>
        <v>#DIV/0!</v>
      </c>
      <c r="P162" s="29" t="e">
        <f t="shared" ca="1" si="12"/>
        <v>#DIV/0!</v>
      </c>
      <c r="Q162" s="29" t="e">
        <f t="shared" ca="1" si="12"/>
        <v>#DIV/0!</v>
      </c>
      <c r="R162" s="29" t="e">
        <f t="shared" ca="1" si="12"/>
        <v>#DIV/0!</v>
      </c>
      <c r="S162" s="36" t="e">
        <f t="shared" ca="1" si="10"/>
        <v>#DIV/0!</v>
      </c>
    </row>
    <row r="163" spans="2:19" x14ac:dyDescent="0.15">
      <c r="B163" s="137" t="str">
        <f ca="1">graph_data!D19</f>
        <v>Thread 3</v>
      </c>
      <c r="C163" s="29" t="e">
        <f t="shared" ref="C163:R163" ca="1" si="13">+C144/$S144</f>
        <v>#DIV/0!</v>
      </c>
      <c r="D163" s="29" t="e">
        <f t="shared" ca="1" si="13"/>
        <v>#DIV/0!</v>
      </c>
      <c r="E163" s="29" t="e">
        <f t="shared" ca="1" si="13"/>
        <v>#DIV/0!</v>
      </c>
      <c r="F163" s="29" t="e">
        <f t="shared" ca="1" si="13"/>
        <v>#DIV/0!</v>
      </c>
      <c r="G163" s="29" t="e">
        <f t="shared" ca="1" si="13"/>
        <v>#DIV/0!</v>
      </c>
      <c r="H163" s="29" t="e">
        <f t="shared" ca="1" si="13"/>
        <v>#DIV/0!</v>
      </c>
      <c r="I163" s="29" t="e">
        <f t="shared" ca="1" si="13"/>
        <v>#DIV/0!</v>
      </c>
      <c r="J163" s="29" t="e">
        <f t="shared" ca="1" si="13"/>
        <v>#DIV/0!</v>
      </c>
      <c r="K163" s="29" t="e">
        <f t="shared" ca="1" si="13"/>
        <v>#DIV/0!</v>
      </c>
      <c r="L163" s="29" t="e">
        <f t="shared" ca="1" si="13"/>
        <v>#DIV/0!</v>
      </c>
      <c r="M163" s="29" t="e">
        <f t="shared" ca="1" si="13"/>
        <v>#DIV/0!</v>
      </c>
      <c r="N163" s="29" t="e">
        <f t="shared" ca="1" si="13"/>
        <v>#DIV/0!</v>
      </c>
      <c r="O163" s="29" t="e">
        <f t="shared" ca="1" si="13"/>
        <v>#DIV/0!</v>
      </c>
      <c r="P163" s="29" t="e">
        <f t="shared" ca="1" si="13"/>
        <v>#DIV/0!</v>
      </c>
      <c r="Q163" s="29" t="e">
        <f t="shared" ca="1" si="13"/>
        <v>#DIV/0!</v>
      </c>
      <c r="R163" s="29" t="e">
        <f t="shared" ca="1" si="13"/>
        <v>#DIV/0!</v>
      </c>
      <c r="S163" s="36" t="e">
        <f t="shared" ca="1" si="10"/>
        <v>#DIV/0!</v>
      </c>
    </row>
    <row r="164" spans="2:19" x14ac:dyDescent="0.15">
      <c r="B164" s="137" t="str">
        <f ca="1">graph_data!D20</f>
        <v>Thread 4</v>
      </c>
      <c r="C164" s="29" t="e">
        <f t="shared" ref="C164:R164" ca="1" si="14">+C145/$S145</f>
        <v>#DIV/0!</v>
      </c>
      <c r="D164" s="29" t="e">
        <f t="shared" ca="1" si="14"/>
        <v>#DIV/0!</v>
      </c>
      <c r="E164" s="29" t="e">
        <f t="shared" ca="1" si="14"/>
        <v>#DIV/0!</v>
      </c>
      <c r="F164" s="29" t="e">
        <f t="shared" ca="1" si="14"/>
        <v>#DIV/0!</v>
      </c>
      <c r="G164" s="29" t="e">
        <f t="shared" ca="1" si="14"/>
        <v>#DIV/0!</v>
      </c>
      <c r="H164" s="29" t="e">
        <f t="shared" ca="1" si="14"/>
        <v>#DIV/0!</v>
      </c>
      <c r="I164" s="29" t="e">
        <f t="shared" ca="1" si="14"/>
        <v>#DIV/0!</v>
      </c>
      <c r="J164" s="29" t="e">
        <f t="shared" ca="1" si="14"/>
        <v>#DIV/0!</v>
      </c>
      <c r="K164" s="29" t="e">
        <f t="shared" ca="1" si="14"/>
        <v>#DIV/0!</v>
      </c>
      <c r="L164" s="29" t="e">
        <f t="shared" ca="1" si="14"/>
        <v>#DIV/0!</v>
      </c>
      <c r="M164" s="29" t="e">
        <f t="shared" ca="1" si="14"/>
        <v>#DIV/0!</v>
      </c>
      <c r="N164" s="29" t="e">
        <f t="shared" ca="1" si="14"/>
        <v>#DIV/0!</v>
      </c>
      <c r="O164" s="29" t="e">
        <f t="shared" ca="1" si="14"/>
        <v>#DIV/0!</v>
      </c>
      <c r="P164" s="29" t="e">
        <f t="shared" ca="1" si="14"/>
        <v>#DIV/0!</v>
      </c>
      <c r="Q164" s="29" t="e">
        <f t="shared" ca="1" si="14"/>
        <v>#DIV/0!</v>
      </c>
      <c r="R164" s="29" t="e">
        <f t="shared" ca="1" si="14"/>
        <v>#DIV/0!</v>
      </c>
      <c r="S164" s="36" t="e">
        <f t="shared" ca="1" si="10"/>
        <v>#DIV/0!</v>
      </c>
    </row>
    <row r="165" spans="2:19" x14ac:dyDescent="0.15">
      <c r="B165" s="137" t="str">
        <f ca="1">graph_data!D21</f>
        <v>Thread 5</v>
      </c>
      <c r="C165" s="29" t="e">
        <f t="shared" ref="C165:R165" ca="1" si="15">+C146/$S146</f>
        <v>#DIV/0!</v>
      </c>
      <c r="D165" s="29" t="e">
        <f t="shared" ca="1" si="15"/>
        <v>#DIV/0!</v>
      </c>
      <c r="E165" s="29" t="e">
        <f t="shared" ca="1" si="15"/>
        <v>#DIV/0!</v>
      </c>
      <c r="F165" s="29" t="e">
        <f t="shared" ca="1" si="15"/>
        <v>#DIV/0!</v>
      </c>
      <c r="G165" s="29" t="e">
        <f t="shared" ca="1" si="15"/>
        <v>#DIV/0!</v>
      </c>
      <c r="H165" s="29" t="e">
        <f t="shared" ca="1" si="15"/>
        <v>#DIV/0!</v>
      </c>
      <c r="I165" s="29" t="e">
        <f t="shared" ca="1" si="15"/>
        <v>#DIV/0!</v>
      </c>
      <c r="J165" s="29" t="e">
        <f t="shared" ca="1" si="15"/>
        <v>#DIV/0!</v>
      </c>
      <c r="K165" s="29" t="e">
        <f t="shared" ca="1" si="15"/>
        <v>#DIV/0!</v>
      </c>
      <c r="L165" s="29" t="e">
        <f t="shared" ca="1" si="15"/>
        <v>#DIV/0!</v>
      </c>
      <c r="M165" s="29" t="e">
        <f t="shared" ca="1" si="15"/>
        <v>#DIV/0!</v>
      </c>
      <c r="N165" s="29" t="e">
        <f t="shared" ca="1" si="15"/>
        <v>#DIV/0!</v>
      </c>
      <c r="O165" s="29" t="e">
        <f t="shared" ca="1" si="15"/>
        <v>#DIV/0!</v>
      </c>
      <c r="P165" s="29" t="e">
        <f t="shared" ca="1" si="15"/>
        <v>#DIV/0!</v>
      </c>
      <c r="Q165" s="29" t="e">
        <f t="shared" ca="1" si="15"/>
        <v>#DIV/0!</v>
      </c>
      <c r="R165" s="29" t="e">
        <f t="shared" ca="1" si="15"/>
        <v>#DIV/0!</v>
      </c>
      <c r="S165" s="36" t="e">
        <f t="shared" ca="1" si="10"/>
        <v>#DIV/0!</v>
      </c>
    </row>
    <row r="166" spans="2:19" x14ac:dyDescent="0.15">
      <c r="B166" s="137" t="str">
        <f ca="1">graph_data!D22</f>
        <v>Thread 6</v>
      </c>
      <c r="C166" s="29" t="e">
        <f t="shared" ref="C166:R166" ca="1" si="16">+C147/$S147</f>
        <v>#DIV/0!</v>
      </c>
      <c r="D166" s="29" t="e">
        <f t="shared" ca="1" si="16"/>
        <v>#DIV/0!</v>
      </c>
      <c r="E166" s="29" t="e">
        <f t="shared" ca="1" si="16"/>
        <v>#DIV/0!</v>
      </c>
      <c r="F166" s="29" t="e">
        <f t="shared" ca="1" si="16"/>
        <v>#DIV/0!</v>
      </c>
      <c r="G166" s="29" t="e">
        <f t="shared" ca="1" si="16"/>
        <v>#DIV/0!</v>
      </c>
      <c r="H166" s="29" t="e">
        <f t="shared" ca="1" si="16"/>
        <v>#DIV/0!</v>
      </c>
      <c r="I166" s="29" t="e">
        <f t="shared" ca="1" si="16"/>
        <v>#DIV/0!</v>
      </c>
      <c r="J166" s="29" t="e">
        <f t="shared" ca="1" si="16"/>
        <v>#DIV/0!</v>
      </c>
      <c r="K166" s="29" t="e">
        <f t="shared" ca="1" si="16"/>
        <v>#DIV/0!</v>
      </c>
      <c r="L166" s="29" t="e">
        <f t="shared" ca="1" si="16"/>
        <v>#DIV/0!</v>
      </c>
      <c r="M166" s="29" t="e">
        <f t="shared" ca="1" si="16"/>
        <v>#DIV/0!</v>
      </c>
      <c r="N166" s="29" t="e">
        <f t="shared" ca="1" si="16"/>
        <v>#DIV/0!</v>
      </c>
      <c r="O166" s="29" t="e">
        <f t="shared" ca="1" si="16"/>
        <v>#DIV/0!</v>
      </c>
      <c r="P166" s="29" t="e">
        <f t="shared" ca="1" si="16"/>
        <v>#DIV/0!</v>
      </c>
      <c r="Q166" s="29" t="e">
        <f t="shared" ca="1" si="16"/>
        <v>#DIV/0!</v>
      </c>
      <c r="R166" s="29" t="e">
        <f t="shared" ca="1" si="16"/>
        <v>#DIV/0!</v>
      </c>
      <c r="S166" s="36" t="e">
        <f t="shared" ca="1" si="10"/>
        <v>#DIV/0!</v>
      </c>
    </row>
    <row r="167" spans="2:19" x14ac:dyDescent="0.15">
      <c r="B167" s="137" t="str">
        <f ca="1">graph_data!D23</f>
        <v>Thread 7</v>
      </c>
      <c r="C167" s="29" t="e">
        <f t="shared" ref="C167:R167" ca="1" si="17">+C148/$S148</f>
        <v>#DIV/0!</v>
      </c>
      <c r="D167" s="29" t="e">
        <f t="shared" ca="1" si="17"/>
        <v>#DIV/0!</v>
      </c>
      <c r="E167" s="29" t="e">
        <f t="shared" ca="1" si="17"/>
        <v>#DIV/0!</v>
      </c>
      <c r="F167" s="29" t="e">
        <f t="shared" ca="1" si="17"/>
        <v>#DIV/0!</v>
      </c>
      <c r="G167" s="29" t="e">
        <f t="shared" ca="1" si="17"/>
        <v>#DIV/0!</v>
      </c>
      <c r="H167" s="29" t="e">
        <f t="shared" ca="1" si="17"/>
        <v>#DIV/0!</v>
      </c>
      <c r="I167" s="29" t="e">
        <f t="shared" ca="1" si="17"/>
        <v>#DIV/0!</v>
      </c>
      <c r="J167" s="29" t="e">
        <f t="shared" ca="1" si="17"/>
        <v>#DIV/0!</v>
      </c>
      <c r="K167" s="29" t="e">
        <f t="shared" ca="1" si="17"/>
        <v>#DIV/0!</v>
      </c>
      <c r="L167" s="29" t="e">
        <f t="shared" ca="1" si="17"/>
        <v>#DIV/0!</v>
      </c>
      <c r="M167" s="29" t="e">
        <f t="shared" ca="1" si="17"/>
        <v>#DIV/0!</v>
      </c>
      <c r="N167" s="29" t="e">
        <f t="shared" ca="1" si="17"/>
        <v>#DIV/0!</v>
      </c>
      <c r="O167" s="29" t="e">
        <f t="shared" ca="1" si="17"/>
        <v>#DIV/0!</v>
      </c>
      <c r="P167" s="29" t="e">
        <f t="shared" ca="1" si="17"/>
        <v>#DIV/0!</v>
      </c>
      <c r="Q167" s="29" t="e">
        <f t="shared" ca="1" si="17"/>
        <v>#DIV/0!</v>
      </c>
      <c r="R167" s="29" t="e">
        <f t="shared" ca="1" si="17"/>
        <v>#DIV/0!</v>
      </c>
      <c r="S167" s="516" t="e">
        <f t="shared" ca="1" si="10"/>
        <v>#DIV/0!</v>
      </c>
    </row>
    <row r="168" spans="2:19" x14ac:dyDescent="0.15">
      <c r="B168" s="514" t="str">
        <f ca="1">graph_data!D24</f>
        <v>Thread 8</v>
      </c>
      <c r="C168" s="515" t="e">
        <f t="shared" ref="C168:R168" ca="1" si="18">+C149/$S149</f>
        <v>#DIV/0!</v>
      </c>
      <c r="D168" s="515" t="e">
        <f t="shared" ca="1" si="18"/>
        <v>#DIV/0!</v>
      </c>
      <c r="E168" s="515" t="e">
        <f t="shared" ca="1" si="18"/>
        <v>#DIV/0!</v>
      </c>
      <c r="F168" s="515" t="e">
        <f t="shared" ca="1" si="18"/>
        <v>#DIV/0!</v>
      </c>
      <c r="G168" s="515" t="e">
        <f t="shared" ca="1" si="18"/>
        <v>#DIV/0!</v>
      </c>
      <c r="H168" s="515" t="e">
        <f t="shared" ca="1" si="18"/>
        <v>#DIV/0!</v>
      </c>
      <c r="I168" s="515" t="e">
        <f t="shared" ca="1" si="18"/>
        <v>#DIV/0!</v>
      </c>
      <c r="J168" s="515" t="e">
        <f t="shared" ca="1" si="18"/>
        <v>#DIV/0!</v>
      </c>
      <c r="K168" s="515" t="e">
        <f t="shared" ca="1" si="18"/>
        <v>#DIV/0!</v>
      </c>
      <c r="L168" s="515" t="e">
        <f t="shared" ca="1" si="18"/>
        <v>#DIV/0!</v>
      </c>
      <c r="M168" s="515" t="e">
        <f t="shared" ca="1" si="18"/>
        <v>#DIV/0!</v>
      </c>
      <c r="N168" s="515" t="e">
        <f t="shared" ca="1" si="18"/>
        <v>#DIV/0!</v>
      </c>
      <c r="O168" s="515" t="e">
        <f t="shared" ca="1" si="18"/>
        <v>#DIV/0!</v>
      </c>
      <c r="P168" s="515" t="e">
        <f t="shared" ca="1" si="18"/>
        <v>#DIV/0!</v>
      </c>
      <c r="Q168" s="515" t="e">
        <f t="shared" ca="1" si="18"/>
        <v>#DIV/0!</v>
      </c>
      <c r="R168" s="515" t="e">
        <f t="shared" ca="1" si="18"/>
        <v>#DIV/0!</v>
      </c>
      <c r="S168" s="36" t="e">
        <f t="shared" ref="S168:S175" ca="1" si="19">SUM(C168:R168)</f>
        <v>#DIV/0!</v>
      </c>
    </row>
    <row r="169" spans="2:19" x14ac:dyDescent="0.15">
      <c r="B169" s="137" t="str">
        <f ca="1">graph_data!D25</f>
        <v>Thread 9</v>
      </c>
      <c r="C169" s="29" t="e">
        <f t="shared" ref="C169:R169" ca="1" si="20">+C150/$S150</f>
        <v>#DIV/0!</v>
      </c>
      <c r="D169" s="29" t="e">
        <f t="shared" ca="1" si="20"/>
        <v>#DIV/0!</v>
      </c>
      <c r="E169" s="29" t="e">
        <f t="shared" ca="1" si="20"/>
        <v>#DIV/0!</v>
      </c>
      <c r="F169" s="29" t="e">
        <f t="shared" ca="1" si="20"/>
        <v>#DIV/0!</v>
      </c>
      <c r="G169" s="29" t="e">
        <f t="shared" ca="1" si="20"/>
        <v>#DIV/0!</v>
      </c>
      <c r="H169" s="29" t="e">
        <f t="shared" ca="1" si="20"/>
        <v>#DIV/0!</v>
      </c>
      <c r="I169" s="29" t="e">
        <f t="shared" ca="1" si="20"/>
        <v>#DIV/0!</v>
      </c>
      <c r="J169" s="29" t="e">
        <f t="shared" ca="1" si="20"/>
        <v>#DIV/0!</v>
      </c>
      <c r="K169" s="29" t="e">
        <f t="shared" ca="1" si="20"/>
        <v>#DIV/0!</v>
      </c>
      <c r="L169" s="29" t="e">
        <f t="shared" ca="1" si="20"/>
        <v>#DIV/0!</v>
      </c>
      <c r="M169" s="29" t="e">
        <f t="shared" ca="1" si="20"/>
        <v>#DIV/0!</v>
      </c>
      <c r="N169" s="29" t="e">
        <f t="shared" ca="1" si="20"/>
        <v>#DIV/0!</v>
      </c>
      <c r="O169" s="29" t="e">
        <f t="shared" ca="1" si="20"/>
        <v>#DIV/0!</v>
      </c>
      <c r="P169" s="29" t="e">
        <f t="shared" ca="1" si="20"/>
        <v>#DIV/0!</v>
      </c>
      <c r="Q169" s="29" t="e">
        <f t="shared" ca="1" si="20"/>
        <v>#DIV/0!</v>
      </c>
      <c r="R169" s="29" t="e">
        <f t="shared" ca="1" si="20"/>
        <v>#DIV/0!</v>
      </c>
      <c r="S169" s="36" t="e">
        <f t="shared" ca="1" si="19"/>
        <v>#DIV/0!</v>
      </c>
    </row>
    <row r="170" spans="2:19" x14ac:dyDescent="0.15">
      <c r="B170" s="137" t="str">
        <f ca="1">graph_data!D26</f>
        <v>Thread 10</v>
      </c>
      <c r="C170" s="29" t="e">
        <f t="shared" ref="C170:R170" ca="1" si="21">+C151/$S151</f>
        <v>#DIV/0!</v>
      </c>
      <c r="D170" s="29" t="e">
        <f t="shared" ca="1" si="21"/>
        <v>#DIV/0!</v>
      </c>
      <c r="E170" s="29" t="e">
        <f t="shared" ca="1" si="21"/>
        <v>#DIV/0!</v>
      </c>
      <c r="F170" s="29" t="e">
        <f t="shared" ca="1" si="21"/>
        <v>#DIV/0!</v>
      </c>
      <c r="G170" s="29" t="e">
        <f t="shared" ca="1" si="21"/>
        <v>#DIV/0!</v>
      </c>
      <c r="H170" s="29" t="e">
        <f t="shared" ca="1" si="21"/>
        <v>#DIV/0!</v>
      </c>
      <c r="I170" s="29" t="e">
        <f t="shared" ca="1" si="21"/>
        <v>#DIV/0!</v>
      </c>
      <c r="J170" s="29" t="e">
        <f t="shared" ca="1" si="21"/>
        <v>#DIV/0!</v>
      </c>
      <c r="K170" s="29" t="e">
        <f t="shared" ca="1" si="21"/>
        <v>#DIV/0!</v>
      </c>
      <c r="L170" s="29" t="e">
        <f t="shared" ca="1" si="21"/>
        <v>#DIV/0!</v>
      </c>
      <c r="M170" s="29" t="e">
        <f t="shared" ca="1" si="21"/>
        <v>#DIV/0!</v>
      </c>
      <c r="N170" s="29" t="e">
        <f t="shared" ca="1" si="21"/>
        <v>#DIV/0!</v>
      </c>
      <c r="O170" s="29" t="e">
        <f t="shared" ca="1" si="21"/>
        <v>#DIV/0!</v>
      </c>
      <c r="P170" s="29" t="e">
        <f t="shared" ca="1" si="21"/>
        <v>#DIV/0!</v>
      </c>
      <c r="Q170" s="29" t="e">
        <f t="shared" ca="1" si="21"/>
        <v>#DIV/0!</v>
      </c>
      <c r="R170" s="29" t="e">
        <f t="shared" ca="1" si="21"/>
        <v>#DIV/0!</v>
      </c>
      <c r="S170" s="36" t="e">
        <f t="shared" ca="1" si="19"/>
        <v>#DIV/0!</v>
      </c>
    </row>
    <row r="171" spans="2:19" x14ac:dyDescent="0.15">
      <c r="B171" s="137" t="str">
        <f ca="1">graph_data!D27</f>
        <v>Thread 11</v>
      </c>
      <c r="C171" s="29" t="e">
        <f t="shared" ref="C171:R171" ca="1" si="22">+C152/$S152</f>
        <v>#DIV/0!</v>
      </c>
      <c r="D171" s="29" t="e">
        <f t="shared" ca="1" si="22"/>
        <v>#DIV/0!</v>
      </c>
      <c r="E171" s="29" t="e">
        <f t="shared" ca="1" si="22"/>
        <v>#DIV/0!</v>
      </c>
      <c r="F171" s="29" t="e">
        <f t="shared" ca="1" si="22"/>
        <v>#DIV/0!</v>
      </c>
      <c r="G171" s="29" t="e">
        <f t="shared" ca="1" si="22"/>
        <v>#DIV/0!</v>
      </c>
      <c r="H171" s="29" t="e">
        <f t="shared" ca="1" si="22"/>
        <v>#DIV/0!</v>
      </c>
      <c r="I171" s="29" t="e">
        <f t="shared" ca="1" si="22"/>
        <v>#DIV/0!</v>
      </c>
      <c r="J171" s="29" t="e">
        <f t="shared" ca="1" si="22"/>
        <v>#DIV/0!</v>
      </c>
      <c r="K171" s="29" t="e">
        <f t="shared" ca="1" si="22"/>
        <v>#DIV/0!</v>
      </c>
      <c r="L171" s="29" t="e">
        <f t="shared" ca="1" si="22"/>
        <v>#DIV/0!</v>
      </c>
      <c r="M171" s="29" t="e">
        <f t="shared" ca="1" si="22"/>
        <v>#DIV/0!</v>
      </c>
      <c r="N171" s="29" t="e">
        <f t="shared" ca="1" si="22"/>
        <v>#DIV/0!</v>
      </c>
      <c r="O171" s="29" t="e">
        <f t="shared" ca="1" si="22"/>
        <v>#DIV/0!</v>
      </c>
      <c r="P171" s="29" t="e">
        <f t="shared" ca="1" si="22"/>
        <v>#DIV/0!</v>
      </c>
      <c r="Q171" s="29" t="e">
        <f t="shared" ca="1" si="22"/>
        <v>#DIV/0!</v>
      </c>
      <c r="R171" s="29" t="e">
        <f t="shared" ca="1" si="22"/>
        <v>#DIV/0!</v>
      </c>
      <c r="S171" s="36" t="e">
        <f t="shared" ca="1" si="19"/>
        <v>#DIV/0!</v>
      </c>
    </row>
    <row r="172" spans="2:19" x14ac:dyDescent="0.15">
      <c r="B172" s="137" t="str">
        <f ca="1">graph_data!D28</f>
        <v>Thread 12</v>
      </c>
      <c r="C172" s="29" t="e">
        <f t="shared" ref="C172:R172" ca="1" si="23">+C153/$S153</f>
        <v>#DIV/0!</v>
      </c>
      <c r="D172" s="29" t="e">
        <f t="shared" ca="1" si="23"/>
        <v>#DIV/0!</v>
      </c>
      <c r="E172" s="29" t="e">
        <f t="shared" ca="1" si="23"/>
        <v>#DIV/0!</v>
      </c>
      <c r="F172" s="29" t="e">
        <f t="shared" ca="1" si="23"/>
        <v>#DIV/0!</v>
      </c>
      <c r="G172" s="29" t="e">
        <f t="shared" ca="1" si="23"/>
        <v>#DIV/0!</v>
      </c>
      <c r="H172" s="29" t="e">
        <f t="shared" ca="1" si="23"/>
        <v>#DIV/0!</v>
      </c>
      <c r="I172" s="29" t="e">
        <f t="shared" ca="1" si="23"/>
        <v>#DIV/0!</v>
      </c>
      <c r="J172" s="29" t="e">
        <f t="shared" ca="1" si="23"/>
        <v>#DIV/0!</v>
      </c>
      <c r="K172" s="29" t="e">
        <f t="shared" ca="1" si="23"/>
        <v>#DIV/0!</v>
      </c>
      <c r="L172" s="29" t="e">
        <f t="shared" ca="1" si="23"/>
        <v>#DIV/0!</v>
      </c>
      <c r="M172" s="29" t="e">
        <f t="shared" ca="1" si="23"/>
        <v>#DIV/0!</v>
      </c>
      <c r="N172" s="29" t="e">
        <f t="shared" ca="1" si="23"/>
        <v>#DIV/0!</v>
      </c>
      <c r="O172" s="29" t="e">
        <f t="shared" ca="1" si="23"/>
        <v>#DIV/0!</v>
      </c>
      <c r="P172" s="29" t="e">
        <f t="shared" ca="1" si="23"/>
        <v>#DIV/0!</v>
      </c>
      <c r="Q172" s="29" t="e">
        <f t="shared" ca="1" si="23"/>
        <v>#DIV/0!</v>
      </c>
      <c r="R172" s="29" t="e">
        <f t="shared" ca="1" si="23"/>
        <v>#DIV/0!</v>
      </c>
      <c r="S172" s="36" t="e">
        <f t="shared" ca="1" si="19"/>
        <v>#DIV/0!</v>
      </c>
    </row>
    <row r="173" spans="2:19" x14ac:dyDescent="0.15">
      <c r="B173" s="137" t="str">
        <f ca="1">graph_data!D29</f>
        <v>Thread 13</v>
      </c>
      <c r="C173" s="29" t="e">
        <f t="shared" ref="C173:R173" ca="1" si="24">+C154/$S154</f>
        <v>#DIV/0!</v>
      </c>
      <c r="D173" s="29" t="e">
        <f t="shared" ca="1" si="24"/>
        <v>#DIV/0!</v>
      </c>
      <c r="E173" s="29" t="e">
        <f t="shared" ca="1" si="24"/>
        <v>#DIV/0!</v>
      </c>
      <c r="F173" s="29" t="e">
        <f t="shared" ca="1" si="24"/>
        <v>#DIV/0!</v>
      </c>
      <c r="G173" s="29" t="e">
        <f t="shared" ca="1" si="24"/>
        <v>#DIV/0!</v>
      </c>
      <c r="H173" s="29" t="e">
        <f t="shared" ca="1" si="24"/>
        <v>#DIV/0!</v>
      </c>
      <c r="I173" s="29" t="e">
        <f t="shared" ca="1" si="24"/>
        <v>#DIV/0!</v>
      </c>
      <c r="J173" s="29" t="e">
        <f t="shared" ca="1" si="24"/>
        <v>#DIV/0!</v>
      </c>
      <c r="K173" s="29" t="e">
        <f t="shared" ca="1" si="24"/>
        <v>#DIV/0!</v>
      </c>
      <c r="L173" s="29" t="e">
        <f t="shared" ca="1" si="24"/>
        <v>#DIV/0!</v>
      </c>
      <c r="M173" s="29" t="e">
        <f t="shared" ca="1" si="24"/>
        <v>#DIV/0!</v>
      </c>
      <c r="N173" s="29" t="e">
        <f t="shared" ca="1" si="24"/>
        <v>#DIV/0!</v>
      </c>
      <c r="O173" s="29" t="e">
        <f t="shared" ca="1" si="24"/>
        <v>#DIV/0!</v>
      </c>
      <c r="P173" s="29" t="e">
        <f t="shared" ca="1" si="24"/>
        <v>#DIV/0!</v>
      </c>
      <c r="Q173" s="29" t="e">
        <f t="shared" ca="1" si="24"/>
        <v>#DIV/0!</v>
      </c>
      <c r="R173" s="29" t="e">
        <f t="shared" ca="1" si="24"/>
        <v>#DIV/0!</v>
      </c>
      <c r="S173" s="36" t="e">
        <f t="shared" ca="1" si="19"/>
        <v>#DIV/0!</v>
      </c>
    </row>
    <row r="174" spans="2:19" x14ac:dyDescent="0.15">
      <c r="B174" s="137" t="str">
        <f ca="1">graph_data!D30</f>
        <v>Thread 14</v>
      </c>
      <c r="C174" s="29" t="e">
        <f t="shared" ref="C174:R174" ca="1" si="25">+C155/$S155</f>
        <v>#DIV/0!</v>
      </c>
      <c r="D174" s="29" t="e">
        <f t="shared" ca="1" si="25"/>
        <v>#DIV/0!</v>
      </c>
      <c r="E174" s="29" t="e">
        <f t="shared" ca="1" si="25"/>
        <v>#DIV/0!</v>
      </c>
      <c r="F174" s="29" t="e">
        <f t="shared" ca="1" si="25"/>
        <v>#DIV/0!</v>
      </c>
      <c r="G174" s="29" t="e">
        <f t="shared" ca="1" si="25"/>
        <v>#DIV/0!</v>
      </c>
      <c r="H174" s="29" t="e">
        <f t="shared" ca="1" si="25"/>
        <v>#DIV/0!</v>
      </c>
      <c r="I174" s="29" t="e">
        <f t="shared" ca="1" si="25"/>
        <v>#DIV/0!</v>
      </c>
      <c r="J174" s="29" t="e">
        <f t="shared" ca="1" si="25"/>
        <v>#DIV/0!</v>
      </c>
      <c r="K174" s="29" t="e">
        <f t="shared" ca="1" si="25"/>
        <v>#DIV/0!</v>
      </c>
      <c r="L174" s="29" t="e">
        <f t="shared" ca="1" si="25"/>
        <v>#DIV/0!</v>
      </c>
      <c r="M174" s="29" t="e">
        <f t="shared" ca="1" si="25"/>
        <v>#DIV/0!</v>
      </c>
      <c r="N174" s="29" t="e">
        <f t="shared" ca="1" si="25"/>
        <v>#DIV/0!</v>
      </c>
      <c r="O174" s="29" t="e">
        <f t="shared" ca="1" si="25"/>
        <v>#DIV/0!</v>
      </c>
      <c r="P174" s="29" t="e">
        <f t="shared" ca="1" si="25"/>
        <v>#DIV/0!</v>
      </c>
      <c r="Q174" s="29" t="e">
        <f t="shared" ca="1" si="25"/>
        <v>#DIV/0!</v>
      </c>
      <c r="R174" s="29" t="e">
        <f t="shared" ca="1" si="25"/>
        <v>#DIV/0!</v>
      </c>
      <c r="S174" s="36" t="e">
        <f t="shared" ca="1" si="19"/>
        <v>#DIV/0!</v>
      </c>
    </row>
    <row r="175" spans="2:19" ht="14.25" thickBot="1" x14ac:dyDescent="0.2">
      <c r="B175" s="138" t="str">
        <f ca="1">graph_data!D31</f>
        <v>Thread 15</v>
      </c>
      <c r="C175" s="30" t="e">
        <f t="shared" ref="C175:R175" ca="1" si="26">+C156/$S156</f>
        <v>#DIV/0!</v>
      </c>
      <c r="D175" s="30" t="e">
        <f t="shared" ca="1" si="26"/>
        <v>#DIV/0!</v>
      </c>
      <c r="E175" s="30" t="e">
        <f t="shared" ca="1" si="26"/>
        <v>#DIV/0!</v>
      </c>
      <c r="F175" s="30" t="e">
        <f t="shared" ca="1" si="26"/>
        <v>#DIV/0!</v>
      </c>
      <c r="G175" s="30" t="e">
        <f t="shared" ca="1" si="26"/>
        <v>#DIV/0!</v>
      </c>
      <c r="H175" s="30" t="e">
        <f t="shared" ca="1" si="26"/>
        <v>#DIV/0!</v>
      </c>
      <c r="I175" s="30" t="e">
        <f t="shared" ca="1" si="26"/>
        <v>#DIV/0!</v>
      </c>
      <c r="J175" s="30" t="e">
        <f t="shared" ca="1" si="26"/>
        <v>#DIV/0!</v>
      </c>
      <c r="K175" s="30" t="e">
        <f t="shared" ca="1" si="26"/>
        <v>#DIV/0!</v>
      </c>
      <c r="L175" s="30" t="e">
        <f t="shared" ca="1" si="26"/>
        <v>#DIV/0!</v>
      </c>
      <c r="M175" s="30" t="e">
        <f t="shared" ca="1" si="26"/>
        <v>#DIV/0!</v>
      </c>
      <c r="N175" s="30" t="e">
        <f t="shared" ca="1" si="26"/>
        <v>#DIV/0!</v>
      </c>
      <c r="O175" s="30" t="e">
        <f t="shared" ca="1" si="26"/>
        <v>#DIV/0!</v>
      </c>
      <c r="P175" s="30" t="e">
        <f t="shared" ca="1" si="26"/>
        <v>#DIV/0!</v>
      </c>
      <c r="Q175" s="30" t="e">
        <f t="shared" ca="1" si="26"/>
        <v>#DIV/0!</v>
      </c>
      <c r="R175" s="30" t="e">
        <f t="shared" ca="1" si="26"/>
        <v>#DIV/0!</v>
      </c>
      <c r="S175" s="37" t="e">
        <f t="shared" ca="1" si="19"/>
        <v>#DIV/0!</v>
      </c>
    </row>
    <row r="177" spans="2:24" ht="21.75" customHeight="1" thickBot="1" x14ac:dyDescent="0.2">
      <c r="B177" s="156" t="s">
        <v>328</v>
      </c>
      <c r="K177" s="566" t="s">
        <v>332</v>
      </c>
    </row>
    <row r="178" spans="2:24" ht="27.75" thickBot="1" x14ac:dyDescent="0.2">
      <c r="B178" s="148"/>
      <c r="C178" s="155" t="s">
        <v>264</v>
      </c>
      <c r="D178" s="131" t="s">
        <v>42</v>
      </c>
      <c r="E178" s="132" t="s">
        <v>43</v>
      </c>
      <c r="F178" s="132" t="s">
        <v>44</v>
      </c>
      <c r="G178" s="132" t="s">
        <v>75</v>
      </c>
      <c r="H178" s="132" t="s">
        <v>87</v>
      </c>
      <c r="I178" s="133" t="s">
        <v>116</v>
      </c>
      <c r="K178" s="639"/>
      <c r="L178" s="474" t="s">
        <v>293</v>
      </c>
      <c r="M178" s="475" t="s">
        <v>294</v>
      </c>
      <c r="N178" s="476" t="s">
        <v>296</v>
      </c>
      <c r="O178" s="475" t="s">
        <v>295</v>
      </c>
      <c r="P178" s="476" t="s">
        <v>321</v>
      </c>
      <c r="Q178" s="476" t="s">
        <v>322</v>
      </c>
      <c r="R178" s="475" t="s">
        <v>323</v>
      </c>
      <c r="S178" s="476" t="s">
        <v>324</v>
      </c>
      <c r="T178" s="476" t="s">
        <v>325</v>
      </c>
      <c r="U178" s="553" t="s">
        <v>326</v>
      </c>
    </row>
    <row r="179" spans="2:24" ht="15" thickTop="1" thickBot="1" x14ac:dyDescent="0.2">
      <c r="B179" s="149" t="str">
        <f ca="1">graph_data!D16</f>
        <v>Thread 0</v>
      </c>
      <c r="C179" s="152">
        <f>data_FX10!BG3</f>
        <v>0</v>
      </c>
      <c r="D179" s="139" t="e">
        <f>data_FX10!BH3</f>
        <v>#DIV/0!</v>
      </c>
      <c r="E179" s="140" t="e">
        <f>data_FX10!BI3</f>
        <v>#DIV/0!</v>
      </c>
      <c r="F179" s="140" t="e">
        <f>data_FX10!BJ3</f>
        <v>#DIV/0!</v>
      </c>
      <c r="G179" s="140" t="e">
        <f>data_FX10!BK3</f>
        <v>#DIV/0!</v>
      </c>
      <c r="H179" s="140" t="e">
        <f>data_FX10!BL3</f>
        <v>#DIV/0!</v>
      </c>
      <c r="I179" s="141" t="e">
        <f>data_FX10!BM3</f>
        <v>#DIV/0!</v>
      </c>
      <c r="K179" s="640"/>
      <c r="L179" s="471"/>
      <c r="M179" s="472"/>
      <c r="N179" s="473"/>
      <c r="O179" s="23"/>
      <c r="P179" s="554"/>
      <c r="Q179" s="555"/>
      <c r="R179" s="556"/>
      <c r="S179" s="557"/>
      <c r="T179" s="558"/>
      <c r="U179" s="559"/>
    </row>
    <row r="180" spans="2:24" ht="14.25" thickTop="1" x14ac:dyDescent="0.15">
      <c r="B180" s="150" t="str">
        <f ca="1">graph_data!D17</f>
        <v>Thread 1</v>
      </c>
      <c r="C180" s="153">
        <f>data_FX10!BG4</f>
        <v>0</v>
      </c>
      <c r="D180" s="142" t="e">
        <f>data_FX10!BH4</f>
        <v>#DIV/0!</v>
      </c>
      <c r="E180" s="143" t="e">
        <f>data_FX10!BI4</f>
        <v>#DIV/0!</v>
      </c>
      <c r="F180" s="143" t="e">
        <f>data_FX10!BJ4</f>
        <v>#DIV/0!</v>
      </c>
      <c r="G180" s="143" t="e">
        <f>data_FX10!BK4</f>
        <v>#DIV/0!</v>
      </c>
      <c r="H180" s="143" t="e">
        <f>data_FX10!BL4</f>
        <v>#DIV/0!</v>
      </c>
      <c r="I180" s="144" t="e">
        <f>data_FX10!BM4</f>
        <v>#DIV/0!</v>
      </c>
      <c r="K180" s="464" t="str">
        <f t="shared" ref="K180:K195" ca="1" si="27">B160</f>
        <v>Thread 0</v>
      </c>
      <c r="L180" s="469" t="e">
        <f t="shared" ref="L180:L195" ca="1" si="28">R141/S141</f>
        <v>#DIV/0!</v>
      </c>
      <c r="M180" s="470" t="e">
        <f t="shared" ref="M180:M195" ca="1" si="29">Q141/S141</f>
        <v>#DIV/0!</v>
      </c>
      <c r="N180" s="470" t="e">
        <f t="shared" ref="N180:N195" ca="1" si="30">P141/S141</f>
        <v>#DIV/0!</v>
      </c>
      <c r="O180" s="470" t="e">
        <f t="shared" ref="O180:O195" ca="1" si="31">O141/S141</f>
        <v>#DIV/0!</v>
      </c>
      <c r="P180" s="470" t="e">
        <f ca="1">L141/S141</f>
        <v>#DIV/0!</v>
      </c>
      <c r="Q180" s="470" t="e">
        <f ca="1">K141/S141</f>
        <v>#DIV/0!</v>
      </c>
      <c r="R180" s="470" t="e">
        <f ca="1">(H141+I141)/S141</f>
        <v>#DIV/0!</v>
      </c>
      <c r="S180" s="560" t="e">
        <f ca="1">(D141+E141+G141)/S141</f>
        <v>#DIV/0!</v>
      </c>
      <c r="T180" s="560" t="e">
        <f ca="1">(C141+F141)/S141</f>
        <v>#DIV/0!</v>
      </c>
      <c r="U180" s="561" t="e">
        <f ca="1">(J141+M141+N141)/S141</f>
        <v>#DIV/0!</v>
      </c>
    </row>
    <row r="181" spans="2:24" x14ac:dyDescent="0.15">
      <c r="B181" s="150" t="str">
        <f ca="1">graph_data!D18</f>
        <v>Thread 2</v>
      </c>
      <c r="C181" s="153">
        <f>data_FX10!BG5</f>
        <v>0</v>
      </c>
      <c r="D181" s="142" t="e">
        <f>data_FX10!BH5</f>
        <v>#DIV/0!</v>
      </c>
      <c r="E181" s="143" t="e">
        <f>data_FX10!BI5</f>
        <v>#DIV/0!</v>
      </c>
      <c r="F181" s="143" t="e">
        <f>data_FX10!BJ5</f>
        <v>#DIV/0!</v>
      </c>
      <c r="G181" s="143" t="e">
        <f>data_FX10!BK5</f>
        <v>#DIV/0!</v>
      </c>
      <c r="H181" s="143" t="e">
        <f>data_FX10!BL5</f>
        <v>#DIV/0!</v>
      </c>
      <c r="I181" s="144" t="e">
        <f>data_FX10!BM5</f>
        <v>#DIV/0!</v>
      </c>
      <c r="K181" s="5" t="str">
        <f t="shared" ca="1" si="27"/>
        <v>Thread 1</v>
      </c>
      <c r="L181" s="463" t="e">
        <f t="shared" ca="1" si="28"/>
        <v>#DIV/0!</v>
      </c>
      <c r="M181" s="460" t="e">
        <f t="shared" ca="1" si="29"/>
        <v>#DIV/0!</v>
      </c>
      <c r="N181" s="460" t="e">
        <f t="shared" ca="1" si="30"/>
        <v>#DIV/0!</v>
      </c>
      <c r="O181" s="460" t="e">
        <f t="shared" ca="1" si="31"/>
        <v>#DIV/0!</v>
      </c>
      <c r="P181" s="470" t="e">
        <f t="shared" ref="P181:P195" ca="1" si="32">L142/S142</f>
        <v>#DIV/0!</v>
      </c>
      <c r="Q181" s="470" t="e">
        <f t="shared" ref="Q181:Q195" ca="1" si="33">K142/S142</f>
        <v>#DIV/0!</v>
      </c>
      <c r="R181" s="470" t="e">
        <f t="shared" ref="R181:R195" ca="1" si="34">(H142+I142)/S142</f>
        <v>#DIV/0!</v>
      </c>
      <c r="S181" s="460" t="e">
        <f t="shared" ref="S181:S195" ca="1" si="35">(D142+E142+G142)/S142</f>
        <v>#DIV/0!</v>
      </c>
      <c r="T181" s="460" t="e">
        <f t="shared" ref="T181:T195" ca="1" si="36">(C142+F142)/S142</f>
        <v>#DIV/0!</v>
      </c>
      <c r="U181" s="562" t="e">
        <f t="shared" ref="U181:U195" ca="1" si="37">(J142+M142+N142)/S142</f>
        <v>#DIV/0!</v>
      </c>
    </row>
    <row r="182" spans="2:24" x14ac:dyDescent="0.15">
      <c r="B182" s="150" t="str">
        <f ca="1">graph_data!D19</f>
        <v>Thread 3</v>
      </c>
      <c r="C182" s="153">
        <f>data_FX10!BG6</f>
        <v>0</v>
      </c>
      <c r="D182" s="142" t="e">
        <f>data_FX10!BH6</f>
        <v>#DIV/0!</v>
      </c>
      <c r="E182" s="143" t="e">
        <f>data_FX10!BI6</f>
        <v>#DIV/0!</v>
      </c>
      <c r="F182" s="143" t="e">
        <f>data_FX10!BJ6</f>
        <v>#DIV/0!</v>
      </c>
      <c r="G182" s="143" t="e">
        <f>data_FX10!BK6</f>
        <v>#DIV/0!</v>
      </c>
      <c r="H182" s="143" t="e">
        <f>data_FX10!BL6</f>
        <v>#DIV/0!</v>
      </c>
      <c r="I182" s="144" t="e">
        <f>data_FX10!BM6</f>
        <v>#DIV/0!</v>
      </c>
      <c r="K182" s="5" t="str">
        <f t="shared" ca="1" si="27"/>
        <v>Thread 2</v>
      </c>
      <c r="L182" s="463" t="e">
        <f t="shared" ca="1" si="28"/>
        <v>#DIV/0!</v>
      </c>
      <c r="M182" s="460" t="e">
        <f t="shared" ca="1" si="29"/>
        <v>#DIV/0!</v>
      </c>
      <c r="N182" s="460" t="e">
        <f t="shared" ca="1" si="30"/>
        <v>#DIV/0!</v>
      </c>
      <c r="O182" s="460" t="e">
        <f t="shared" ca="1" si="31"/>
        <v>#DIV/0!</v>
      </c>
      <c r="P182" s="470" t="e">
        <f t="shared" ca="1" si="32"/>
        <v>#DIV/0!</v>
      </c>
      <c r="Q182" s="470" t="e">
        <f t="shared" ca="1" si="33"/>
        <v>#DIV/0!</v>
      </c>
      <c r="R182" s="470" t="e">
        <f t="shared" ca="1" si="34"/>
        <v>#DIV/0!</v>
      </c>
      <c r="S182" s="460" t="e">
        <f t="shared" ca="1" si="35"/>
        <v>#DIV/0!</v>
      </c>
      <c r="T182" s="460" t="e">
        <f t="shared" ca="1" si="36"/>
        <v>#DIV/0!</v>
      </c>
      <c r="U182" s="562" t="e">
        <f t="shared" ca="1" si="37"/>
        <v>#DIV/0!</v>
      </c>
    </row>
    <row r="183" spans="2:24" x14ac:dyDescent="0.15">
      <c r="B183" s="150" t="str">
        <f ca="1">graph_data!D20</f>
        <v>Thread 4</v>
      </c>
      <c r="C183" s="153">
        <f>data_FX10!BG7</f>
        <v>0</v>
      </c>
      <c r="D183" s="142" t="e">
        <f>data_FX10!BH7</f>
        <v>#DIV/0!</v>
      </c>
      <c r="E183" s="143" t="e">
        <f>data_FX10!BI7</f>
        <v>#DIV/0!</v>
      </c>
      <c r="F183" s="143" t="e">
        <f>data_FX10!BJ7</f>
        <v>#DIV/0!</v>
      </c>
      <c r="G183" s="143" t="e">
        <f>data_FX10!BK7</f>
        <v>#DIV/0!</v>
      </c>
      <c r="H183" s="143" t="e">
        <f>data_FX10!BL7</f>
        <v>#DIV/0!</v>
      </c>
      <c r="I183" s="144" t="e">
        <f>data_FX10!BM7</f>
        <v>#DIV/0!</v>
      </c>
      <c r="K183" s="5" t="str">
        <f t="shared" ca="1" si="27"/>
        <v>Thread 3</v>
      </c>
      <c r="L183" s="463" t="e">
        <f t="shared" ca="1" si="28"/>
        <v>#DIV/0!</v>
      </c>
      <c r="M183" s="460" t="e">
        <f t="shared" ca="1" si="29"/>
        <v>#DIV/0!</v>
      </c>
      <c r="N183" s="460" t="e">
        <f t="shared" ca="1" si="30"/>
        <v>#DIV/0!</v>
      </c>
      <c r="O183" s="460" t="e">
        <f t="shared" ca="1" si="31"/>
        <v>#DIV/0!</v>
      </c>
      <c r="P183" s="470" t="e">
        <f t="shared" ca="1" si="32"/>
        <v>#DIV/0!</v>
      </c>
      <c r="Q183" s="470" t="e">
        <f t="shared" ca="1" si="33"/>
        <v>#DIV/0!</v>
      </c>
      <c r="R183" s="470" t="e">
        <f t="shared" ca="1" si="34"/>
        <v>#DIV/0!</v>
      </c>
      <c r="S183" s="460" t="e">
        <f t="shared" ca="1" si="35"/>
        <v>#DIV/0!</v>
      </c>
      <c r="T183" s="460" t="e">
        <f t="shared" ca="1" si="36"/>
        <v>#DIV/0!</v>
      </c>
      <c r="U183" s="562" t="e">
        <f t="shared" ca="1" si="37"/>
        <v>#DIV/0!</v>
      </c>
    </row>
    <row r="184" spans="2:24" x14ac:dyDescent="0.15">
      <c r="B184" s="150" t="str">
        <f ca="1">graph_data!D21</f>
        <v>Thread 5</v>
      </c>
      <c r="C184" s="153">
        <f>data_FX10!BG8</f>
        <v>0</v>
      </c>
      <c r="D184" s="142" t="e">
        <f>data_FX10!BH8</f>
        <v>#DIV/0!</v>
      </c>
      <c r="E184" s="143" t="e">
        <f>data_FX10!BI8</f>
        <v>#DIV/0!</v>
      </c>
      <c r="F184" s="143" t="e">
        <f>data_FX10!BJ8</f>
        <v>#DIV/0!</v>
      </c>
      <c r="G184" s="143" t="e">
        <f>data_FX10!BK8</f>
        <v>#DIV/0!</v>
      </c>
      <c r="H184" s="143" t="e">
        <f>data_FX10!BL8</f>
        <v>#DIV/0!</v>
      </c>
      <c r="I184" s="144" t="e">
        <f>data_FX10!BM8</f>
        <v>#DIV/0!</v>
      </c>
      <c r="K184" s="5" t="str">
        <f t="shared" ca="1" si="27"/>
        <v>Thread 4</v>
      </c>
      <c r="L184" s="463" t="e">
        <f t="shared" ca="1" si="28"/>
        <v>#DIV/0!</v>
      </c>
      <c r="M184" s="460" t="e">
        <f t="shared" ca="1" si="29"/>
        <v>#DIV/0!</v>
      </c>
      <c r="N184" s="460" t="e">
        <f t="shared" ca="1" si="30"/>
        <v>#DIV/0!</v>
      </c>
      <c r="O184" s="460" t="e">
        <f t="shared" ca="1" si="31"/>
        <v>#DIV/0!</v>
      </c>
      <c r="P184" s="470" t="e">
        <f t="shared" ca="1" si="32"/>
        <v>#DIV/0!</v>
      </c>
      <c r="Q184" s="470" t="e">
        <f t="shared" ca="1" si="33"/>
        <v>#DIV/0!</v>
      </c>
      <c r="R184" s="470" t="e">
        <f t="shared" ca="1" si="34"/>
        <v>#DIV/0!</v>
      </c>
      <c r="S184" s="460" t="e">
        <f t="shared" ca="1" si="35"/>
        <v>#DIV/0!</v>
      </c>
      <c r="T184" s="460" t="e">
        <f t="shared" ca="1" si="36"/>
        <v>#DIV/0!</v>
      </c>
      <c r="U184" s="562" t="e">
        <f t="shared" ca="1" si="37"/>
        <v>#DIV/0!</v>
      </c>
    </row>
    <row r="185" spans="2:24" x14ac:dyDescent="0.15">
      <c r="B185" s="150" t="str">
        <f ca="1">graph_data!D22</f>
        <v>Thread 6</v>
      </c>
      <c r="C185" s="153">
        <f>data_FX10!BG9</f>
        <v>0</v>
      </c>
      <c r="D185" s="142" t="e">
        <f>data_FX10!BH9</f>
        <v>#DIV/0!</v>
      </c>
      <c r="E185" s="143" t="e">
        <f>data_FX10!BI9</f>
        <v>#DIV/0!</v>
      </c>
      <c r="F185" s="143" t="e">
        <f>data_FX10!BJ9</f>
        <v>#DIV/0!</v>
      </c>
      <c r="G185" s="143" t="e">
        <f>data_FX10!BK9</f>
        <v>#DIV/0!</v>
      </c>
      <c r="H185" s="143" t="e">
        <f>data_FX10!BL9</f>
        <v>#DIV/0!</v>
      </c>
      <c r="I185" s="144" t="e">
        <f>data_FX10!BM9</f>
        <v>#DIV/0!</v>
      </c>
      <c r="K185" s="5" t="str">
        <f t="shared" ca="1" si="27"/>
        <v>Thread 5</v>
      </c>
      <c r="L185" s="463" t="e">
        <f t="shared" ca="1" si="28"/>
        <v>#DIV/0!</v>
      </c>
      <c r="M185" s="460" t="e">
        <f t="shared" ca="1" si="29"/>
        <v>#DIV/0!</v>
      </c>
      <c r="N185" s="460" t="e">
        <f t="shared" ca="1" si="30"/>
        <v>#DIV/0!</v>
      </c>
      <c r="O185" s="460" t="e">
        <f t="shared" ca="1" si="31"/>
        <v>#DIV/0!</v>
      </c>
      <c r="P185" s="470" t="e">
        <f t="shared" ca="1" si="32"/>
        <v>#DIV/0!</v>
      </c>
      <c r="Q185" s="470" t="e">
        <f t="shared" ca="1" si="33"/>
        <v>#DIV/0!</v>
      </c>
      <c r="R185" s="470" t="e">
        <f t="shared" ca="1" si="34"/>
        <v>#DIV/0!</v>
      </c>
      <c r="S185" s="460" t="e">
        <f t="shared" ca="1" si="35"/>
        <v>#DIV/0!</v>
      </c>
      <c r="T185" s="460" t="e">
        <f t="shared" ca="1" si="36"/>
        <v>#DIV/0!</v>
      </c>
      <c r="U185" s="562" t="e">
        <f t="shared" ca="1" si="37"/>
        <v>#DIV/0!</v>
      </c>
    </row>
    <row r="186" spans="2:24" x14ac:dyDescent="0.15">
      <c r="B186" s="150" t="str">
        <f ca="1">graph_data!D23</f>
        <v>Thread 7</v>
      </c>
      <c r="C186" s="153">
        <f>data_FX10!BG10</f>
        <v>0</v>
      </c>
      <c r="D186" s="142" t="e">
        <f>data_FX10!BH10</f>
        <v>#DIV/0!</v>
      </c>
      <c r="E186" s="143" t="e">
        <f>data_FX10!BI10</f>
        <v>#DIV/0!</v>
      </c>
      <c r="F186" s="143" t="e">
        <f>data_FX10!BJ10</f>
        <v>#DIV/0!</v>
      </c>
      <c r="G186" s="143" t="e">
        <f>data_FX10!BK10</f>
        <v>#DIV/0!</v>
      </c>
      <c r="H186" s="143" t="e">
        <f>data_FX10!BL10</f>
        <v>#DIV/0!</v>
      </c>
      <c r="I186" s="144" t="e">
        <f>data_FX10!BM10</f>
        <v>#DIV/0!</v>
      </c>
      <c r="K186" s="5" t="str">
        <f t="shared" ca="1" si="27"/>
        <v>Thread 6</v>
      </c>
      <c r="L186" s="463" t="e">
        <f t="shared" ca="1" si="28"/>
        <v>#DIV/0!</v>
      </c>
      <c r="M186" s="460" t="e">
        <f t="shared" ca="1" si="29"/>
        <v>#DIV/0!</v>
      </c>
      <c r="N186" s="460" t="e">
        <f t="shared" ca="1" si="30"/>
        <v>#DIV/0!</v>
      </c>
      <c r="O186" s="460" t="e">
        <f t="shared" ca="1" si="31"/>
        <v>#DIV/0!</v>
      </c>
      <c r="P186" s="470" t="e">
        <f t="shared" ca="1" si="32"/>
        <v>#DIV/0!</v>
      </c>
      <c r="Q186" s="470" t="e">
        <f t="shared" ca="1" si="33"/>
        <v>#DIV/0!</v>
      </c>
      <c r="R186" s="470" t="e">
        <f t="shared" ca="1" si="34"/>
        <v>#DIV/0!</v>
      </c>
      <c r="S186" s="460" t="e">
        <f t="shared" ca="1" si="35"/>
        <v>#DIV/0!</v>
      </c>
      <c r="T186" s="460" t="e">
        <f t="shared" ca="1" si="36"/>
        <v>#DIV/0!</v>
      </c>
      <c r="U186" s="562" t="e">
        <f t="shared" ca="1" si="37"/>
        <v>#DIV/0!</v>
      </c>
    </row>
    <row r="187" spans="2:24" x14ac:dyDescent="0.15">
      <c r="B187" s="517" t="str">
        <f ca="1">graph_data!D24</f>
        <v>Thread 8</v>
      </c>
      <c r="C187" s="152">
        <f>data_FX10!BG11</f>
        <v>0</v>
      </c>
      <c r="D187" s="139" t="e">
        <f>data_FX10!BH11</f>
        <v>#DIV/0!</v>
      </c>
      <c r="E187" s="140" t="e">
        <f>data_FX10!BI11</f>
        <v>#DIV/0!</v>
      </c>
      <c r="F187" s="140" t="e">
        <f>data_FX10!BJ11</f>
        <v>#DIV/0!</v>
      </c>
      <c r="G187" s="140" t="e">
        <f>data_FX10!BK11</f>
        <v>#DIV/0!</v>
      </c>
      <c r="H187" s="140" t="e">
        <f>data_FX10!BL11</f>
        <v>#DIV/0!</v>
      </c>
      <c r="I187" s="141" t="e">
        <f>data_FX10!BM11</f>
        <v>#DIV/0!</v>
      </c>
      <c r="K187" s="5" t="str">
        <f t="shared" ca="1" si="27"/>
        <v>Thread 7</v>
      </c>
      <c r="L187" s="463" t="e">
        <f t="shared" ca="1" si="28"/>
        <v>#DIV/0!</v>
      </c>
      <c r="M187" s="460" t="e">
        <f t="shared" ca="1" si="29"/>
        <v>#DIV/0!</v>
      </c>
      <c r="N187" s="460" t="e">
        <f t="shared" ca="1" si="30"/>
        <v>#DIV/0!</v>
      </c>
      <c r="O187" s="460" t="e">
        <f t="shared" ca="1" si="31"/>
        <v>#DIV/0!</v>
      </c>
      <c r="P187" s="470" t="e">
        <f t="shared" ca="1" si="32"/>
        <v>#DIV/0!</v>
      </c>
      <c r="Q187" s="470" t="e">
        <f t="shared" ca="1" si="33"/>
        <v>#DIV/0!</v>
      </c>
      <c r="R187" s="470" t="e">
        <f t="shared" ca="1" si="34"/>
        <v>#DIV/0!</v>
      </c>
      <c r="S187" s="460" t="e">
        <f t="shared" ca="1" si="35"/>
        <v>#DIV/0!</v>
      </c>
      <c r="T187" s="460" t="e">
        <f t="shared" ca="1" si="36"/>
        <v>#DIV/0!</v>
      </c>
      <c r="U187" s="562" t="e">
        <f t="shared" ca="1" si="37"/>
        <v>#DIV/0!</v>
      </c>
    </row>
    <row r="188" spans="2:24" x14ac:dyDescent="0.15">
      <c r="B188" s="150" t="str">
        <f ca="1">graph_data!D25</f>
        <v>Thread 9</v>
      </c>
      <c r="C188" s="153">
        <f>data_FX10!BG12</f>
        <v>0</v>
      </c>
      <c r="D188" s="142" t="e">
        <f>data_FX10!BH12</f>
        <v>#DIV/0!</v>
      </c>
      <c r="E188" s="143" t="e">
        <f>data_FX10!BI12</f>
        <v>#DIV/0!</v>
      </c>
      <c r="F188" s="143" t="e">
        <f>data_FX10!BJ12</f>
        <v>#DIV/0!</v>
      </c>
      <c r="G188" s="143" t="e">
        <f>data_FX10!BK12</f>
        <v>#DIV/0!</v>
      </c>
      <c r="H188" s="143" t="e">
        <f>data_FX10!BL12</f>
        <v>#DIV/0!</v>
      </c>
      <c r="I188" s="144" t="e">
        <f>data_FX10!BM12</f>
        <v>#DIV/0!</v>
      </c>
      <c r="K188" s="518" t="str">
        <f t="shared" ca="1" si="27"/>
        <v>Thread 8</v>
      </c>
      <c r="L188" s="469" t="e">
        <f t="shared" ca="1" si="28"/>
        <v>#DIV/0!</v>
      </c>
      <c r="M188" s="470" t="e">
        <f t="shared" ca="1" si="29"/>
        <v>#DIV/0!</v>
      </c>
      <c r="N188" s="470" t="e">
        <f t="shared" ca="1" si="30"/>
        <v>#DIV/0!</v>
      </c>
      <c r="O188" s="470" t="e">
        <f t="shared" ca="1" si="31"/>
        <v>#DIV/0!</v>
      </c>
      <c r="P188" s="470" t="e">
        <f t="shared" ca="1" si="32"/>
        <v>#DIV/0!</v>
      </c>
      <c r="Q188" s="470" t="e">
        <f t="shared" ca="1" si="33"/>
        <v>#DIV/0!</v>
      </c>
      <c r="R188" s="470" t="e">
        <f t="shared" ca="1" si="34"/>
        <v>#DIV/0!</v>
      </c>
      <c r="S188" s="460" t="e">
        <f t="shared" ca="1" si="35"/>
        <v>#DIV/0!</v>
      </c>
      <c r="T188" s="460" t="e">
        <f t="shared" ca="1" si="36"/>
        <v>#DIV/0!</v>
      </c>
      <c r="U188" s="562" t="e">
        <f t="shared" ca="1" si="37"/>
        <v>#DIV/0!</v>
      </c>
    </row>
    <row r="189" spans="2:24" x14ac:dyDescent="0.15">
      <c r="B189" s="150" t="str">
        <f ca="1">graph_data!D26</f>
        <v>Thread 10</v>
      </c>
      <c r="C189" s="153">
        <f>data_FX10!BG13</f>
        <v>0</v>
      </c>
      <c r="D189" s="142" t="e">
        <f>data_FX10!BH13</f>
        <v>#DIV/0!</v>
      </c>
      <c r="E189" s="143" t="e">
        <f>data_FX10!BI13</f>
        <v>#DIV/0!</v>
      </c>
      <c r="F189" s="143" t="e">
        <f>data_FX10!BJ13</f>
        <v>#DIV/0!</v>
      </c>
      <c r="G189" s="143" t="e">
        <f>data_FX10!BK13</f>
        <v>#DIV/0!</v>
      </c>
      <c r="H189" s="143" t="e">
        <f>data_FX10!BL13</f>
        <v>#DIV/0!</v>
      </c>
      <c r="I189" s="144" t="e">
        <f>data_FX10!BM13</f>
        <v>#DIV/0!</v>
      </c>
      <c r="K189" s="5" t="str">
        <f t="shared" ca="1" si="27"/>
        <v>Thread 9</v>
      </c>
      <c r="L189" s="463" t="e">
        <f t="shared" ca="1" si="28"/>
        <v>#DIV/0!</v>
      </c>
      <c r="M189" s="460" t="e">
        <f t="shared" ca="1" si="29"/>
        <v>#DIV/0!</v>
      </c>
      <c r="N189" s="460" t="e">
        <f t="shared" ca="1" si="30"/>
        <v>#DIV/0!</v>
      </c>
      <c r="O189" s="460" t="e">
        <f t="shared" ca="1" si="31"/>
        <v>#DIV/0!</v>
      </c>
      <c r="P189" s="470" t="e">
        <f t="shared" ca="1" si="32"/>
        <v>#DIV/0!</v>
      </c>
      <c r="Q189" s="470" t="e">
        <f t="shared" ca="1" si="33"/>
        <v>#DIV/0!</v>
      </c>
      <c r="R189" s="470" t="e">
        <f t="shared" ca="1" si="34"/>
        <v>#DIV/0!</v>
      </c>
      <c r="S189" s="460" t="e">
        <f t="shared" ca="1" si="35"/>
        <v>#DIV/0!</v>
      </c>
      <c r="T189" s="460" t="e">
        <f t="shared" ca="1" si="36"/>
        <v>#DIV/0!</v>
      </c>
      <c r="U189" s="562" t="e">
        <f t="shared" ca="1" si="37"/>
        <v>#DIV/0!</v>
      </c>
    </row>
    <row r="190" spans="2:24" x14ac:dyDescent="0.15">
      <c r="B190" s="150" t="str">
        <f ca="1">graph_data!D27</f>
        <v>Thread 11</v>
      </c>
      <c r="C190" s="153">
        <f>data_FX10!BG14</f>
        <v>0</v>
      </c>
      <c r="D190" s="142" t="e">
        <f>data_FX10!BH14</f>
        <v>#DIV/0!</v>
      </c>
      <c r="E190" s="143" t="e">
        <f>data_FX10!BI14</f>
        <v>#DIV/0!</v>
      </c>
      <c r="F190" s="143" t="e">
        <f>data_FX10!BJ14</f>
        <v>#DIV/0!</v>
      </c>
      <c r="G190" s="143" t="e">
        <f>data_FX10!BK14</f>
        <v>#DIV/0!</v>
      </c>
      <c r="H190" s="143" t="e">
        <f>data_FX10!BL14</f>
        <v>#DIV/0!</v>
      </c>
      <c r="I190" s="144" t="e">
        <f>data_FX10!BM14</f>
        <v>#DIV/0!</v>
      </c>
      <c r="K190" s="5" t="str">
        <f t="shared" ca="1" si="27"/>
        <v>Thread 10</v>
      </c>
      <c r="L190" s="463" t="e">
        <f t="shared" ca="1" si="28"/>
        <v>#DIV/0!</v>
      </c>
      <c r="M190" s="460" t="e">
        <f t="shared" ca="1" si="29"/>
        <v>#DIV/0!</v>
      </c>
      <c r="N190" s="460" t="e">
        <f t="shared" ca="1" si="30"/>
        <v>#DIV/0!</v>
      </c>
      <c r="O190" s="460" t="e">
        <f t="shared" ca="1" si="31"/>
        <v>#DIV/0!</v>
      </c>
      <c r="P190" s="470" t="e">
        <f t="shared" ca="1" si="32"/>
        <v>#DIV/0!</v>
      </c>
      <c r="Q190" s="470" t="e">
        <f t="shared" ca="1" si="33"/>
        <v>#DIV/0!</v>
      </c>
      <c r="R190" s="470" t="e">
        <f t="shared" ca="1" si="34"/>
        <v>#DIV/0!</v>
      </c>
      <c r="S190" s="460" t="e">
        <f t="shared" ca="1" si="35"/>
        <v>#DIV/0!</v>
      </c>
      <c r="T190" s="460" t="e">
        <f t="shared" ca="1" si="36"/>
        <v>#DIV/0!</v>
      </c>
      <c r="U190" s="562" t="e">
        <f t="shared" ca="1" si="37"/>
        <v>#DIV/0!</v>
      </c>
    </row>
    <row r="191" spans="2:24" ht="14.25" x14ac:dyDescent="0.15">
      <c r="B191" s="150" t="str">
        <f ca="1">graph_data!D28</f>
        <v>Thread 12</v>
      </c>
      <c r="C191" s="153">
        <f>data_FX10!BG15</f>
        <v>0</v>
      </c>
      <c r="D191" s="142" t="e">
        <f>data_FX10!BH15</f>
        <v>#DIV/0!</v>
      </c>
      <c r="E191" s="143" t="e">
        <f>data_FX10!BI15</f>
        <v>#DIV/0!</v>
      </c>
      <c r="F191" s="143" t="e">
        <f>data_FX10!BJ15</f>
        <v>#DIV/0!</v>
      </c>
      <c r="G191" s="143" t="e">
        <f>data_FX10!BK15</f>
        <v>#DIV/0!</v>
      </c>
      <c r="H191" s="143" t="e">
        <f>data_FX10!BL15</f>
        <v>#DIV/0!</v>
      </c>
      <c r="I191" s="144" t="e">
        <f>data_FX10!BM15</f>
        <v>#DIV/0!</v>
      </c>
      <c r="K191" s="5" t="str">
        <f t="shared" ca="1" si="27"/>
        <v>Thread 11</v>
      </c>
      <c r="L191" s="463" t="e">
        <f t="shared" ca="1" si="28"/>
        <v>#DIV/0!</v>
      </c>
      <c r="M191" s="460" t="e">
        <f t="shared" ca="1" si="29"/>
        <v>#DIV/0!</v>
      </c>
      <c r="N191" s="460" t="e">
        <f t="shared" ca="1" si="30"/>
        <v>#DIV/0!</v>
      </c>
      <c r="O191" s="460" t="e">
        <f t="shared" ca="1" si="31"/>
        <v>#DIV/0!</v>
      </c>
      <c r="P191" s="470" t="e">
        <f t="shared" ca="1" si="32"/>
        <v>#DIV/0!</v>
      </c>
      <c r="Q191" s="470" t="e">
        <f t="shared" ca="1" si="33"/>
        <v>#DIV/0!</v>
      </c>
      <c r="R191" s="470" t="e">
        <f t="shared" ca="1" si="34"/>
        <v>#DIV/0!</v>
      </c>
      <c r="S191" s="460" t="e">
        <f t="shared" ca="1" si="35"/>
        <v>#DIV/0!</v>
      </c>
      <c r="T191" s="460" t="e">
        <f t="shared" ca="1" si="36"/>
        <v>#DIV/0!</v>
      </c>
      <c r="U191" s="562" t="e">
        <f t="shared" ca="1" si="37"/>
        <v>#DIV/0!</v>
      </c>
      <c r="V191" s="2"/>
      <c r="W191" s="3"/>
      <c r="X191" s="3"/>
    </row>
    <row r="192" spans="2:24" ht="14.25" x14ac:dyDescent="0.15">
      <c r="B192" s="150" t="str">
        <f ca="1">graph_data!D29</f>
        <v>Thread 13</v>
      </c>
      <c r="C192" s="153">
        <f>data_FX10!BG16</f>
        <v>0</v>
      </c>
      <c r="D192" s="142" t="e">
        <f>data_FX10!BH16</f>
        <v>#DIV/0!</v>
      </c>
      <c r="E192" s="143" t="e">
        <f>data_FX10!BI16</f>
        <v>#DIV/0!</v>
      </c>
      <c r="F192" s="143" t="e">
        <f>data_FX10!BJ16</f>
        <v>#DIV/0!</v>
      </c>
      <c r="G192" s="143" t="e">
        <f>data_FX10!BK16</f>
        <v>#DIV/0!</v>
      </c>
      <c r="H192" s="143" t="e">
        <f>data_FX10!BL16</f>
        <v>#DIV/0!</v>
      </c>
      <c r="I192" s="144" t="e">
        <f>data_FX10!BM16</f>
        <v>#DIV/0!</v>
      </c>
      <c r="K192" s="5" t="str">
        <f t="shared" ca="1" si="27"/>
        <v>Thread 12</v>
      </c>
      <c r="L192" s="463" t="e">
        <f t="shared" ca="1" si="28"/>
        <v>#DIV/0!</v>
      </c>
      <c r="M192" s="460" t="e">
        <f t="shared" ca="1" si="29"/>
        <v>#DIV/0!</v>
      </c>
      <c r="N192" s="460" t="e">
        <f t="shared" ca="1" si="30"/>
        <v>#DIV/0!</v>
      </c>
      <c r="O192" s="460" t="e">
        <f t="shared" ca="1" si="31"/>
        <v>#DIV/0!</v>
      </c>
      <c r="P192" s="470" t="e">
        <f t="shared" ca="1" si="32"/>
        <v>#DIV/0!</v>
      </c>
      <c r="Q192" s="470" t="e">
        <f t="shared" ca="1" si="33"/>
        <v>#DIV/0!</v>
      </c>
      <c r="R192" s="470" t="e">
        <f t="shared" ca="1" si="34"/>
        <v>#DIV/0!</v>
      </c>
      <c r="S192" s="460" t="e">
        <f t="shared" ca="1" si="35"/>
        <v>#DIV/0!</v>
      </c>
      <c r="T192" s="460" t="e">
        <f t="shared" ca="1" si="36"/>
        <v>#DIV/0!</v>
      </c>
      <c r="U192" s="562" t="e">
        <f t="shared" ca="1" si="37"/>
        <v>#DIV/0!</v>
      </c>
      <c r="V192" s="2"/>
      <c r="W192" s="3"/>
      <c r="X192" s="3"/>
    </row>
    <row r="193" spans="2:24" ht="14.25" x14ac:dyDescent="0.15">
      <c r="B193" s="150" t="str">
        <f ca="1">graph_data!D30</f>
        <v>Thread 14</v>
      </c>
      <c r="C193" s="153">
        <f>data_FX10!BG17</f>
        <v>0</v>
      </c>
      <c r="D193" s="142" t="e">
        <f>data_FX10!BH17</f>
        <v>#DIV/0!</v>
      </c>
      <c r="E193" s="143" t="e">
        <f>data_FX10!BI17</f>
        <v>#DIV/0!</v>
      </c>
      <c r="F193" s="143" t="e">
        <f>data_FX10!BJ17</f>
        <v>#DIV/0!</v>
      </c>
      <c r="G193" s="143" t="e">
        <f>data_FX10!BK17</f>
        <v>#DIV/0!</v>
      </c>
      <c r="H193" s="143" t="e">
        <f>data_FX10!BL17</f>
        <v>#DIV/0!</v>
      </c>
      <c r="I193" s="144" t="e">
        <f>data_FX10!BM17</f>
        <v>#DIV/0!</v>
      </c>
      <c r="K193" s="5" t="str">
        <f t="shared" ca="1" si="27"/>
        <v>Thread 13</v>
      </c>
      <c r="L193" s="463" t="e">
        <f t="shared" ca="1" si="28"/>
        <v>#DIV/0!</v>
      </c>
      <c r="M193" s="460" t="e">
        <f t="shared" ca="1" si="29"/>
        <v>#DIV/0!</v>
      </c>
      <c r="N193" s="460" t="e">
        <f t="shared" ca="1" si="30"/>
        <v>#DIV/0!</v>
      </c>
      <c r="O193" s="460" t="e">
        <f t="shared" ca="1" si="31"/>
        <v>#DIV/0!</v>
      </c>
      <c r="P193" s="470" t="e">
        <f t="shared" ca="1" si="32"/>
        <v>#DIV/0!</v>
      </c>
      <c r="Q193" s="470" t="e">
        <f t="shared" ca="1" si="33"/>
        <v>#DIV/0!</v>
      </c>
      <c r="R193" s="470" t="e">
        <f t="shared" ca="1" si="34"/>
        <v>#DIV/0!</v>
      </c>
      <c r="S193" s="460" t="e">
        <f t="shared" ca="1" si="35"/>
        <v>#DIV/0!</v>
      </c>
      <c r="T193" s="460" t="e">
        <f t="shared" ca="1" si="36"/>
        <v>#DIV/0!</v>
      </c>
      <c r="U193" s="562" t="e">
        <f t="shared" ca="1" si="37"/>
        <v>#DIV/0!</v>
      </c>
      <c r="V193" s="2"/>
      <c r="W193" s="3"/>
      <c r="X193" s="3"/>
    </row>
    <row r="194" spans="2:24" ht="15" thickBot="1" x14ac:dyDescent="0.2">
      <c r="B194" s="151" t="str">
        <f ca="1">graph_data!D31</f>
        <v>Thread 15</v>
      </c>
      <c r="C194" s="154">
        <f>data_FX10!BG18</f>
        <v>0</v>
      </c>
      <c r="D194" s="145" t="e">
        <f>data_FX10!BH18</f>
        <v>#DIV/0!</v>
      </c>
      <c r="E194" s="146" t="e">
        <f>data_FX10!BI18</f>
        <v>#DIV/0!</v>
      </c>
      <c r="F194" s="146" t="e">
        <f>data_FX10!BJ18</f>
        <v>#DIV/0!</v>
      </c>
      <c r="G194" s="146" t="e">
        <f>data_FX10!BK18</f>
        <v>#DIV/0!</v>
      </c>
      <c r="H194" s="146" t="e">
        <f>data_FX10!BL18</f>
        <v>#DIV/0!</v>
      </c>
      <c r="I194" s="147" t="e">
        <f>data_FX10!BM18</f>
        <v>#DIV/0!</v>
      </c>
      <c r="K194" s="5" t="str">
        <f t="shared" ca="1" si="27"/>
        <v>Thread 14</v>
      </c>
      <c r="L194" s="463" t="e">
        <f t="shared" ca="1" si="28"/>
        <v>#DIV/0!</v>
      </c>
      <c r="M194" s="460" t="e">
        <f t="shared" ca="1" si="29"/>
        <v>#DIV/0!</v>
      </c>
      <c r="N194" s="460" t="e">
        <f t="shared" ca="1" si="30"/>
        <v>#DIV/0!</v>
      </c>
      <c r="O194" s="460" t="e">
        <f t="shared" ca="1" si="31"/>
        <v>#DIV/0!</v>
      </c>
      <c r="P194" s="470" t="e">
        <f t="shared" ca="1" si="32"/>
        <v>#DIV/0!</v>
      </c>
      <c r="Q194" s="470" t="e">
        <f t="shared" ca="1" si="33"/>
        <v>#DIV/0!</v>
      </c>
      <c r="R194" s="470" t="e">
        <f t="shared" ca="1" si="34"/>
        <v>#DIV/0!</v>
      </c>
      <c r="S194" s="460" t="e">
        <f t="shared" ca="1" si="35"/>
        <v>#DIV/0!</v>
      </c>
      <c r="T194" s="460" t="e">
        <f t="shared" ca="1" si="36"/>
        <v>#DIV/0!</v>
      </c>
      <c r="U194" s="562" t="e">
        <f t="shared" ca="1" si="37"/>
        <v>#DIV/0!</v>
      </c>
      <c r="V194" s="2"/>
      <c r="W194" s="3"/>
      <c r="X194" s="3"/>
    </row>
    <row r="195" spans="2:24" ht="14.25" thickBot="1" x14ac:dyDescent="0.2">
      <c r="K195" s="525" t="str">
        <f t="shared" ca="1" si="27"/>
        <v>Thread 15</v>
      </c>
      <c r="L195" s="565" t="e">
        <f t="shared" ca="1" si="28"/>
        <v>#DIV/0!</v>
      </c>
      <c r="M195" s="563" t="e">
        <f t="shared" ca="1" si="29"/>
        <v>#DIV/0!</v>
      </c>
      <c r="N195" s="563" t="e">
        <f t="shared" ca="1" si="30"/>
        <v>#DIV/0!</v>
      </c>
      <c r="O195" s="563" t="e">
        <f t="shared" ca="1" si="31"/>
        <v>#DIV/0!</v>
      </c>
      <c r="P195" s="462" t="e">
        <f t="shared" ca="1" si="32"/>
        <v>#DIV/0!</v>
      </c>
      <c r="Q195" s="462" t="e">
        <f t="shared" ca="1" si="33"/>
        <v>#DIV/0!</v>
      </c>
      <c r="R195" s="462" t="e">
        <f t="shared" ca="1" si="34"/>
        <v>#DIV/0!</v>
      </c>
      <c r="S195" s="563" t="e">
        <f t="shared" ca="1" si="35"/>
        <v>#DIV/0!</v>
      </c>
      <c r="T195" s="563" t="e">
        <f t="shared" ca="1" si="36"/>
        <v>#DIV/0!</v>
      </c>
      <c r="U195" s="564" t="e">
        <f t="shared" ca="1" si="37"/>
        <v>#DIV/0!</v>
      </c>
    </row>
    <row r="196" spans="2:24" x14ac:dyDescent="0.15">
      <c r="K196" s="43"/>
    </row>
    <row r="197" spans="2:24" x14ac:dyDescent="0.15">
      <c r="Q197" s="43"/>
    </row>
    <row r="198" spans="2:24" x14ac:dyDescent="0.15">
      <c r="Q198" s="43"/>
    </row>
    <row r="199" spans="2:24" ht="14.25" x14ac:dyDescent="0.15">
      <c r="Q199" s="43"/>
      <c r="U199" s="3"/>
      <c r="V199" s="2"/>
      <c r="W199" s="3"/>
      <c r="X199" s="3"/>
    </row>
    <row r="200" spans="2:24" ht="14.25" x14ac:dyDescent="0.15">
      <c r="Q200" s="43"/>
      <c r="U200" s="3"/>
      <c r="V200" s="2"/>
      <c r="W200" s="3"/>
      <c r="X200" s="3"/>
    </row>
    <row r="201" spans="2:24" ht="14.25" x14ac:dyDescent="0.15">
      <c r="Q201" s="43"/>
      <c r="U201" s="3"/>
      <c r="V201" s="2"/>
      <c r="W201" s="3"/>
      <c r="X201" s="3"/>
    </row>
    <row r="202" spans="2:24" ht="14.25" x14ac:dyDescent="0.15">
      <c r="Q202" s="43"/>
      <c r="U202" s="3"/>
      <c r="V202" s="2"/>
      <c r="W202" s="3"/>
      <c r="X202" s="3"/>
    </row>
    <row r="203" spans="2:24" ht="14.25" x14ac:dyDescent="0.15">
      <c r="Q203" s="43"/>
      <c r="U203" s="3"/>
      <c r="V203" s="2"/>
      <c r="W203" s="3"/>
      <c r="X203" s="3"/>
    </row>
    <row r="204" spans="2:24" ht="14.25" x14ac:dyDescent="0.15">
      <c r="Q204" s="43"/>
      <c r="U204" s="3"/>
      <c r="V204" s="2"/>
      <c r="W204" s="3"/>
      <c r="X204" s="3"/>
    </row>
    <row r="205" spans="2:24" x14ac:dyDescent="0.15">
      <c r="Q205" s="43"/>
    </row>
    <row r="206" spans="2:24" x14ac:dyDescent="0.15">
      <c r="Q206" s="43"/>
    </row>
    <row r="207" spans="2:24" ht="14.25" x14ac:dyDescent="0.15">
      <c r="U207" s="3"/>
      <c r="V207" s="2"/>
      <c r="W207" s="3"/>
      <c r="X207" s="3"/>
    </row>
    <row r="208" spans="2:24" ht="14.25" x14ac:dyDescent="0.15">
      <c r="U208" s="3"/>
      <c r="V208" s="2"/>
      <c r="W208" s="3"/>
      <c r="X208" s="3"/>
    </row>
    <row r="209" spans="21:24" ht="14.25" x14ac:dyDescent="0.15">
      <c r="U209" s="3"/>
      <c r="V209" s="2"/>
      <c r="W209" s="3"/>
      <c r="X209" s="3"/>
    </row>
    <row r="210" spans="21:24" ht="14.25" x14ac:dyDescent="0.15">
      <c r="U210" s="3"/>
      <c r="V210" s="2"/>
      <c r="W210" s="3"/>
      <c r="X210" s="3"/>
    </row>
    <row r="211" spans="21:24" ht="14.25" x14ac:dyDescent="0.15">
      <c r="U211" s="3"/>
      <c r="V211" s="2"/>
      <c r="W211" s="3"/>
      <c r="X211" s="3"/>
    </row>
    <row r="212" spans="21:24" ht="14.25" x14ac:dyDescent="0.15">
      <c r="U212" s="3"/>
      <c r="V212" s="2"/>
      <c r="W212" s="3"/>
      <c r="X212" s="3"/>
    </row>
    <row r="242" spans="17:17" x14ac:dyDescent="0.15">
      <c r="Q242" s="43"/>
    </row>
    <row r="284" spans="17:18" x14ac:dyDescent="0.15">
      <c r="Q284" s="72"/>
      <c r="R284" s="1"/>
    </row>
    <row r="285" spans="17:18" x14ac:dyDescent="0.15">
      <c r="Q285" s="72"/>
      <c r="R285" s="1"/>
    </row>
  </sheetData>
  <mergeCells count="55">
    <mergeCell ref="R98:R99"/>
    <mergeCell ref="S98:S99"/>
    <mergeCell ref="Q98:Q100"/>
    <mergeCell ref="G4:G5"/>
    <mergeCell ref="I4:I5"/>
    <mergeCell ref="J4:J5"/>
    <mergeCell ref="G27:H27"/>
    <mergeCell ref="I26:J26"/>
    <mergeCell ref="I28:J28"/>
    <mergeCell ref="I27:J27"/>
    <mergeCell ref="P55:P56"/>
    <mergeCell ref="C53:H53"/>
    <mergeCell ref="I53:L53"/>
    <mergeCell ref="C27:D27"/>
    <mergeCell ref="E27:F27"/>
    <mergeCell ref="F4:F5"/>
    <mergeCell ref="G28:H28"/>
    <mergeCell ref="B25:B27"/>
    <mergeCell ref="I75:L75"/>
    <mergeCell ref="B55:B56"/>
    <mergeCell ref="Y2:Y3"/>
    <mergeCell ref="O31:O32"/>
    <mergeCell ref="K26:L26"/>
    <mergeCell ref="K28:L28"/>
    <mergeCell ref="K27:L27"/>
    <mergeCell ref="N31:N32"/>
    <mergeCell ref="M29:N29"/>
    <mergeCell ref="K25:L25"/>
    <mergeCell ref="K31:K32"/>
    <mergeCell ref="K4:K5"/>
    <mergeCell ref="L6:L22"/>
    <mergeCell ref="M6:M22"/>
    <mergeCell ref="B4:B5"/>
    <mergeCell ref="C4:C5"/>
    <mergeCell ref="D4:D5"/>
    <mergeCell ref="E4:E5"/>
    <mergeCell ref="B31:B32"/>
    <mergeCell ref="C31:C32"/>
    <mergeCell ref="E31:E32"/>
    <mergeCell ref="K178:K179"/>
    <mergeCell ref="C25:D25"/>
    <mergeCell ref="C26:D26"/>
    <mergeCell ref="C28:D28"/>
    <mergeCell ref="E25:F25"/>
    <mergeCell ref="E26:F26"/>
    <mergeCell ref="E28:F28"/>
    <mergeCell ref="G25:H25"/>
    <mergeCell ref="C74:H74"/>
    <mergeCell ref="I74:L74"/>
    <mergeCell ref="C54:H54"/>
    <mergeCell ref="I54:L54"/>
    <mergeCell ref="F31:F32"/>
    <mergeCell ref="I25:J25"/>
    <mergeCell ref="C75:H75"/>
    <mergeCell ref="G26:H26"/>
  </mergeCells>
  <phoneticPr fontId="3"/>
  <conditionalFormatting sqref="K22">
    <cfRule type="cellIs" dxfId="35" priority="60" stopIfTrue="1" operator="greaterThan">
      <formula>227.04</formula>
    </cfRule>
  </conditionalFormatting>
  <conditionalFormatting sqref="N6:N22">
    <cfRule type="cellIs" dxfId="34" priority="58" stopIfTrue="1" operator="greaterThan">
      <formula>0.8</formula>
    </cfRule>
  </conditionalFormatting>
  <conditionalFormatting sqref="N33:N49">
    <cfRule type="cellIs" dxfId="33" priority="47" stopIfTrue="1" operator="greaterThan">
      <formula>0.01</formula>
    </cfRule>
  </conditionalFormatting>
  <conditionalFormatting sqref="O33:O49">
    <cfRule type="cellIs" dxfId="32" priority="59" stopIfTrue="1" operator="greaterThan">
      <formula>0.00005</formula>
    </cfRule>
  </conditionalFormatting>
  <conditionalFormatting sqref="D33:D49">
    <cfRule type="cellIs" dxfId="31" priority="57" stopIfTrue="1" operator="greaterThan">
      <formula>0.07</formula>
    </cfRule>
  </conditionalFormatting>
  <conditionalFormatting sqref="J33:J49">
    <cfRule type="cellIs" dxfId="30" priority="55" stopIfTrue="1" operator="greaterThan">
      <formula>0.07</formula>
    </cfRule>
  </conditionalFormatting>
  <conditionalFormatting sqref="I54:L54">
    <cfRule type="cellIs" dxfId="29" priority="53" stopIfTrue="1" operator="greaterThan">
      <formula>0.6</formula>
    </cfRule>
  </conditionalFormatting>
  <conditionalFormatting sqref="O57:O73">
    <cfRule type="cellIs" dxfId="28" priority="52" stopIfTrue="1" operator="greaterThan">
      <formula>0.2</formula>
    </cfRule>
  </conditionalFormatting>
  <conditionalFormatting sqref="M57:M73">
    <cfRule type="cellIs" dxfId="27" priority="51" stopIfTrue="1" operator="greaterThan">
      <formula>0.1</formula>
    </cfRule>
  </conditionalFormatting>
  <conditionalFormatting sqref="C33:C49">
    <cfRule type="cellIs" dxfId="26" priority="50" stopIfTrue="1" operator="greaterThan">
      <formula>0.005</formula>
    </cfRule>
  </conditionalFormatting>
  <conditionalFormatting sqref="G28 K28 I28">
    <cfRule type="cellIs" dxfId="25" priority="49" stopIfTrue="1" operator="lessThan">
      <formula>0.9</formula>
    </cfRule>
  </conditionalFormatting>
  <conditionalFormatting sqref="G28 K28 I28">
    <cfRule type="cellIs" dxfId="24" priority="46" stopIfTrue="1" operator="greaterThan">
      <formula>0.99</formula>
    </cfRule>
  </conditionalFormatting>
  <conditionalFormatting sqref="E28">
    <cfRule type="cellIs" dxfId="23" priority="42" stopIfTrue="1" operator="lessThan">
      <formula>0.9</formula>
    </cfRule>
    <cfRule type="cellIs" dxfId="22" priority="43" stopIfTrue="1" operator="greaterThan">
      <formula>0.99</formula>
    </cfRule>
  </conditionalFormatting>
  <conditionalFormatting sqref="D6:D22">
    <cfRule type="cellIs" dxfId="21" priority="41" stopIfTrue="1" operator="greaterThan">
      <formula>0.3</formula>
    </cfRule>
  </conditionalFormatting>
  <conditionalFormatting sqref="E28 G28 K28 I28">
    <cfRule type="expression" dxfId="20" priority="38" stopIfTrue="1">
      <formula>$C28&lt;0.1</formula>
    </cfRule>
  </conditionalFormatting>
  <conditionalFormatting sqref="M6">
    <cfRule type="cellIs" dxfId="19" priority="37" operator="greaterThan">
      <formula>0.8</formula>
    </cfRule>
  </conditionalFormatting>
  <conditionalFormatting sqref="J22">
    <cfRule type="cellIs" dxfId="18" priority="36" stopIfTrue="1" operator="greaterThan">
      <formula>227.04</formula>
    </cfRule>
  </conditionalFormatting>
  <conditionalFormatting sqref="M29">
    <cfRule type="cellIs" dxfId="17" priority="17" stopIfTrue="1" operator="lessThan">
      <formula>0.9</formula>
    </cfRule>
  </conditionalFormatting>
  <conditionalFormatting sqref="M29">
    <cfRule type="cellIs" dxfId="16" priority="16" stopIfTrue="1" operator="greaterThan">
      <formula>0.99</formula>
    </cfRule>
  </conditionalFormatting>
  <conditionalFormatting sqref="M29">
    <cfRule type="expression" dxfId="15" priority="15" stopIfTrue="1">
      <formula>$C29&lt;0.1</formula>
    </cfRule>
  </conditionalFormatting>
  <conditionalFormatting sqref="R101:S116">
    <cfRule type="cellIs" dxfId="14" priority="14" stopIfTrue="1" operator="lessThan">
      <formula>0.9</formula>
    </cfRule>
  </conditionalFormatting>
  <conditionalFormatting sqref="K28:L28">
    <cfRule type="expression" dxfId="13" priority="13" stopIfTrue="1">
      <formula>($E$73+$F$73)&lt;0.01</formula>
    </cfRule>
  </conditionalFormatting>
  <conditionalFormatting sqref="R121:R136">
    <cfRule type="cellIs" dxfId="12" priority="4" stopIfTrue="1" operator="lessThanOrEqual">
      <formula>0.00015</formula>
    </cfRule>
  </conditionalFormatting>
  <conditionalFormatting sqref="D179:I194">
    <cfRule type="cellIs" dxfId="11" priority="3" stopIfTrue="1" operator="greaterThanOrEqual">
      <formula>1.05</formula>
    </cfRule>
    <cfRule type="cellIs" dxfId="10" priority="2" stopIfTrue="1" operator="lessThanOrEqual">
      <formula>0.95</formula>
    </cfRule>
  </conditionalFormatting>
  <conditionalFormatting sqref="L33:L49">
    <cfRule type="expression" dxfId="9" priority="39" stopIfTrue="1">
      <formula>$J33&lt;0.001</formula>
    </cfRule>
    <cfRule type="cellIs" dxfId="8" priority="54" stopIfTrue="1" operator="greaterThan">
      <formula>0.2</formula>
    </cfRule>
  </conditionalFormatting>
  <conditionalFormatting sqref="G33:G49">
    <cfRule type="expression" dxfId="7" priority="40" stopIfTrue="1">
      <formula>$D33&lt;0.005</formula>
    </cfRule>
    <cfRule type="cellIs" dxfId="6" priority="56" stopIfTrue="1" operator="greaterThan">
      <formula>0.2</formula>
    </cfRule>
  </conditionalFormatting>
  <conditionalFormatting sqref="N6:N21">
    <cfRule type="containsBlanks" priority="1" stopIfTrue="1">
      <formula>LEN(TRIM(N6))=0</formula>
    </cfRule>
  </conditionalFormatting>
  <pageMargins left="0.18" right="0.2" top="0.27559055118110237" bottom="0.19685039370078741" header="0.19685039370078741" footer="0.19685039370078741"/>
  <pageSetup paperSize="9" scale="39" fitToHeight="2" orientation="landscape" r:id="rId1"/>
  <headerFooter alignWithMargins="0"/>
  <rowBreaks count="1" manualBreakCount="1">
    <brk id="95" min="1" max="25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8" stopIfTrue="1" operator="greaterThan" id="{15E4ABDA-B4BB-4861-83AA-EE9D7D3A70E1}">
            <xm:f>data_FX10!$EN$1</xm:f>
            <x14:dxf>
              <fill>
                <patternFill>
                  <bgColor rgb="FFFFCCFF"/>
                </patternFill>
              </fill>
            </x14:dxf>
          </x14:cfRule>
          <xm:sqref>L6</xm:sqref>
        </x14:conditionalFormatting>
        <x14:conditionalFormatting xmlns:xm="http://schemas.microsoft.com/office/excel/2006/main">
          <x14:cfRule type="cellIs" priority="35" stopIfTrue="1" operator="greaterThan" id="{D2337A09-C677-4B9C-9B0E-65EECCB2BB5D}">
            <xm:f>data_FX10!$EN$23</xm:f>
            <x14:dxf>
              <fill>
                <patternFill>
                  <bgColor rgb="FFFFCCFF"/>
                </patternFill>
              </fill>
            </x14:dxf>
          </x14:cfRule>
          <xm:sqref>I22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5"/>
  </sheetPr>
  <dimension ref="A1:Y67"/>
  <sheetViews>
    <sheetView workbookViewId="0"/>
  </sheetViews>
  <sheetFormatPr defaultRowHeight="11.25" x14ac:dyDescent="0.15"/>
  <cols>
    <col min="1" max="1" width="19.375" style="161" bestFit="1" customWidth="1"/>
    <col min="2" max="2" width="12.25" style="161" bestFit="1" customWidth="1"/>
    <col min="3" max="3" width="12.25" style="161" customWidth="1"/>
    <col min="4" max="4" width="17.125" style="161" customWidth="1"/>
    <col min="5" max="5" width="21.125" style="161" bestFit="1" customWidth="1"/>
    <col min="6" max="6" width="26.875" style="161" bestFit="1" customWidth="1"/>
    <col min="7" max="7" width="8" style="161" bestFit="1" customWidth="1"/>
    <col min="8" max="8" width="12.25" style="161" bestFit="1" customWidth="1"/>
    <col min="9" max="9" width="25" style="161" bestFit="1" customWidth="1"/>
    <col min="10" max="10" width="30.25" style="161" bestFit="1" customWidth="1"/>
    <col min="11" max="11" width="15.25" style="161" bestFit="1" customWidth="1"/>
    <col min="12" max="12" width="15.75" style="161" bestFit="1" customWidth="1"/>
    <col min="13" max="13" width="10.625" style="161" bestFit="1" customWidth="1"/>
    <col min="14" max="14" width="12.375" style="161" bestFit="1" customWidth="1"/>
    <col min="15" max="15" width="12.375" style="161" customWidth="1"/>
    <col min="16" max="16" width="8.5" style="161" bestFit="1" customWidth="1"/>
    <col min="17" max="17" width="10.5" style="161" bestFit="1" customWidth="1"/>
    <col min="18" max="18" width="9.875" style="161" bestFit="1" customWidth="1"/>
    <col min="19" max="19" width="19.875" style="161" bestFit="1" customWidth="1"/>
    <col min="20" max="20" width="25" style="161" bestFit="1" customWidth="1"/>
    <col min="21" max="21" width="17.75" style="161" bestFit="1" customWidth="1"/>
    <col min="22" max="22" width="9.875" style="161" bestFit="1" customWidth="1"/>
    <col min="23" max="23" width="9.875" style="161" customWidth="1"/>
    <col min="24" max="25" width="9" style="161"/>
    <col min="26" max="26" width="11.875" style="161" bestFit="1" customWidth="1"/>
    <col min="27" max="16384" width="9" style="161"/>
  </cols>
  <sheetData>
    <row r="1" spans="1:25" ht="18" thickBot="1" x14ac:dyDescent="0.2">
      <c r="A1" s="158" t="s">
        <v>186</v>
      </c>
      <c r="B1" s="159" t="s">
        <v>147</v>
      </c>
      <c r="C1" s="160"/>
    </row>
    <row r="2" spans="1:25" x14ac:dyDescent="0.15">
      <c r="B2" s="161" t="s">
        <v>59</v>
      </c>
      <c r="D2" s="161" t="str">
        <f>B1</f>
        <v>【test】7回実行</v>
      </c>
    </row>
    <row r="3" spans="1:25" x14ac:dyDescent="0.15">
      <c r="B3" s="161" t="s">
        <v>73</v>
      </c>
      <c r="D3" s="161" t="str">
        <f>B1</f>
        <v>【test】7回実行</v>
      </c>
    </row>
    <row r="4" spans="1:25" x14ac:dyDescent="0.15">
      <c r="B4" s="161" t="s">
        <v>187</v>
      </c>
      <c r="D4" s="161" t="str">
        <f>B1</f>
        <v>【test】7回実行</v>
      </c>
    </row>
    <row r="6" spans="1:25" s="162" customFormat="1" ht="13.5" x14ac:dyDescent="0.15">
      <c r="A6" s="161"/>
      <c r="B6" s="161"/>
      <c r="C6" s="161"/>
      <c r="D6" s="161"/>
      <c r="E6" s="161"/>
    </row>
    <row r="7" spans="1:25" s="162" customFormat="1" ht="13.5" x14ac:dyDescent="0.15">
      <c r="A7" s="161"/>
      <c r="B7" s="161"/>
      <c r="C7" s="161"/>
      <c r="D7" s="161"/>
      <c r="E7" s="161"/>
    </row>
    <row r="8" spans="1:25" s="162" customFormat="1" ht="13.5" x14ac:dyDescent="0.15">
      <c r="A8" s="161"/>
      <c r="B8" s="161"/>
      <c r="C8" s="161"/>
      <c r="D8" s="161"/>
      <c r="E8" s="161"/>
    </row>
    <row r="9" spans="1:25" s="162" customFormat="1" ht="13.5" x14ac:dyDescent="0.15">
      <c r="A9" s="161"/>
      <c r="B9" s="161"/>
    </row>
    <row r="10" spans="1:25" s="162" customFormat="1" ht="13.5" x14ac:dyDescent="0.15">
      <c r="A10" s="161"/>
      <c r="B10" s="161"/>
    </row>
    <row r="11" spans="1:25" s="162" customFormat="1" ht="13.5" x14ac:dyDescent="0.15">
      <c r="A11" s="161"/>
      <c r="B11" s="161"/>
      <c r="C11" s="161"/>
      <c r="D11" s="161"/>
      <c r="E11" s="161"/>
    </row>
    <row r="13" spans="1:25" ht="12" thickBot="1" x14ac:dyDescent="0.2">
      <c r="F13" s="161" t="s">
        <v>188</v>
      </c>
    </row>
    <row r="14" spans="1:25" ht="15" thickBot="1" x14ac:dyDescent="0.2">
      <c r="A14" s="163" t="s">
        <v>189</v>
      </c>
      <c r="D14" s="161" t="s">
        <v>190</v>
      </c>
      <c r="E14" s="161" t="s">
        <v>191</v>
      </c>
      <c r="F14" s="161" t="s">
        <v>192</v>
      </c>
      <c r="G14" s="161" t="s">
        <v>193</v>
      </c>
      <c r="H14" s="161" t="s">
        <v>194</v>
      </c>
      <c r="I14" s="161" t="s">
        <v>195</v>
      </c>
      <c r="J14" s="161" t="s">
        <v>196</v>
      </c>
      <c r="K14" s="161" t="s">
        <v>197</v>
      </c>
      <c r="L14" s="161" t="s">
        <v>198</v>
      </c>
      <c r="M14" s="161" t="s">
        <v>199</v>
      </c>
      <c r="N14" s="161" t="s">
        <v>200</v>
      </c>
      <c r="O14" s="161" t="s">
        <v>201</v>
      </c>
      <c r="P14" s="161" t="s">
        <v>202</v>
      </c>
      <c r="Q14" s="161" t="s">
        <v>203</v>
      </c>
      <c r="R14" s="161" t="s">
        <v>204</v>
      </c>
      <c r="S14" s="161" t="s">
        <v>205</v>
      </c>
      <c r="T14" s="161" t="s">
        <v>206</v>
      </c>
      <c r="U14" s="161" t="s">
        <v>207</v>
      </c>
      <c r="V14" s="161" t="s">
        <v>208</v>
      </c>
      <c r="X14" s="161" t="s">
        <v>209</v>
      </c>
      <c r="Y14" s="161" t="s">
        <v>210</v>
      </c>
    </row>
    <row r="15" spans="1:25" ht="12" thickBot="1" x14ac:dyDescent="0.2">
      <c r="A15" s="164" t="s">
        <v>112</v>
      </c>
      <c r="B15" s="165" t="s">
        <v>111</v>
      </c>
      <c r="C15" s="166" t="s">
        <v>110</v>
      </c>
      <c r="D15" s="167"/>
      <c r="E15" s="168" t="s">
        <v>22</v>
      </c>
      <c r="F15" s="168" t="s">
        <v>55</v>
      </c>
      <c r="G15" s="168" t="s">
        <v>23</v>
      </c>
      <c r="H15" s="169" t="s">
        <v>24</v>
      </c>
      <c r="I15" s="170" t="s">
        <v>25</v>
      </c>
      <c r="J15" s="170" t="s">
        <v>211</v>
      </c>
      <c r="K15" s="171" t="s">
        <v>56</v>
      </c>
      <c r="L15" s="171" t="s">
        <v>57</v>
      </c>
      <c r="M15" s="169" t="s">
        <v>26</v>
      </c>
      <c r="N15" s="169" t="s">
        <v>27</v>
      </c>
      <c r="O15" s="169" t="s">
        <v>148</v>
      </c>
      <c r="P15" s="169" t="s">
        <v>21</v>
      </c>
      <c r="Q15" s="169" t="s">
        <v>28</v>
      </c>
      <c r="R15" s="169" t="s">
        <v>29</v>
      </c>
      <c r="S15" s="169" t="s">
        <v>30</v>
      </c>
      <c r="T15" s="169" t="s">
        <v>58</v>
      </c>
      <c r="U15" s="169" t="s">
        <v>225</v>
      </c>
      <c r="V15" s="169" t="s">
        <v>32</v>
      </c>
      <c r="W15" s="169"/>
      <c r="X15" s="169" t="s">
        <v>33</v>
      </c>
      <c r="Y15" s="169" t="s">
        <v>82</v>
      </c>
    </row>
    <row r="16" spans="1:25" s="178" customFormat="1" x14ac:dyDescent="0.15">
      <c r="A16" s="172" t="s">
        <v>318</v>
      </c>
      <c r="B16" s="173">
        <v>122</v>
      </c>
      <c r="C16" s="174">
        <v>1</v>
      </c>
      <c r="D16" s="175" t="str">
        <f t="shared" ref="D16:E31" ca="1" si="0">INDIRECT($A16&amp;"!"&amp;D$14&amp;$B16)</f>
        <v>Thread 0</v>
      </c>
      <c r="E16" s="176">
        <f t="shared" ca="1" si="0"/>
        <v>0</v>
      </c>
      <c r="F16" s="176">
        <f t="shared" ref="F16:F31" ca="1" si="1">INDIRECT($A16&amp;"!"&amp;F$14&amp;$B16)+INDIRECT($A16&amp;"!"&amp;F$13&amp;$B16)</f>
        <v>0</v>
      </c>
      <c r="G16" s="176">
        <f t="shared" ref="G16:V25" ca="1" si="2">INDIRECT($A16&amp;"!"&amp;G$14&amp;$B16)</f>
        <v>0</v>
      </c>
      <c r="H16" s="176">
        <f t="shared" ca="1" si="2"/>
        <v>0</v>
      </c>
      <c r="I16" s="176">
        <f t="shared" ca="1" si="2"/>
        <v>0</v>
      </c>
      <c r="J16" s="176">
        <f t="shared" ca="1" si="2"/>
        <v>0</v>
      </c>
      <c r="K16" s="176">
        <f t="shared" ca="1" si="2"/>
        <v>0</v>
      </c>
      <c r="L16" s="176">
        <f t="shared" ca="1" si="2"/>
        <v>0</v>
      </c>
      <c r="M16" s="176">
        <f t="shared" ca="1" si="2"/>
        <v>0</v>
      </c>
      <c r="N16" s="176">
        <f t="shared" ca="1" si="2"/>
        <v>0</v>
      </c>
      <c r="O16" s="176">
        <f t="shared" ca="1" si="2"/>
        <v>0</v>
      </c>
      <c r="P16" s="176">
        <f t="shared" ca="1" si="2"/>
        <v>0</v>
      </c>
      <c r="Q16" s="176">
        <f t="shared" ca="1" si="2"/>
        <v>0</v>
      </c>
      <c r="R16" s="176">
        <f t="shared" ca="1" si="2"/>
        <v>0</v>
      </c>
      <c r="S16" s="176">
        <f t="shared" ca="1" si="2"/>
        <v>0</v>
      </c>
      <c r="T16" s="176">
        <f t="shared" ca="1" si="2"/>
        <v>0</v>
      </c>
      <c r="U16" s="176">
        <f t="shared" ca="1" si="2"/>
        <v>0</v>
      </c>
      <c r="V16" s="176">
        <f t="shared" ca="1" si="2"/>
        <v>0</v>
      </c>
      <c r="W16" s="176"/>
      <c r="X16" s="176">
        <f t="shared" ref="X16:X31" ca="1" si="3">SUM(E16:W16)</f>
        <v>0</v>
      </c>
      <c r="Y16" s="177" t="e">
        <f t="shared" ref="Y16:Y31" ca="1" si="4">INDIRECT($A16&amp;"!"&amp;Y$14&amp;$B16)*C16</f>
        <v>#DIV/0!</v>
      </c>
    </row>
    <row r="17" spans="1:25" s="178" customFormat="1" x14ac:dyDescent="0.15">
      <c r="A17" s="179" t="s">
        <v>317</v>
      </c>
      <c r="B17" s="180">
        <v>123</v>
      </c>
      <c r="C17" s="181">
        <v>1</v>
      </c>
      <c r="D17" s="175" t="str">
        <f t="shared" ca="1" si="0"/>
        <v>Thread 1</v>
      </c>
      <c r="E17" s="176">
        <f t="shared" ca="1" si="0"/>
        <v>0</v>
      </c>
      <c r="F17" s="176">
        <f t="shared" ca="1" si="1"/>
        <v>0</v>
      </c>
      <c r="G17" s="176">
        <f t="shared" ca="1" si="2"/>
        <v>0</v>
      </c>
      <c r="H17" s="176">
        <f t="shared" ca="1" si="2"/>
        <v>0</v>
      </c>
      <c r="I17" s="176">
        <f t="shared" ca="1" si="2"/>
        <v>0</v>
      </c>
      <c r="J17" s="176">
        <f t="shared" ca="1" si="2"/>
        <v>0</v>
      </c>
      <c r="K17" s="176">
        <f t="shared" ca="1" si="2"/>
        <v>0</v>
      </c>
      <c r="L17" s="176">
        <f t="shared" ca="1" si="2"/>
        <v>0</v>
      </c>
      <c r="M17" s="176">
        <f t="shared" ca="1" si="2"/>
        <v>0</v>
      </c>
      <c r="N17" s="176">
        <f t="shared" ca="1" si="2"/>
        <v>0</v>
      </c>
      <c r="O17" s="176">
        <f t="shared" ca="1" si="2"/>
        <v>0</v>
      </c>
      <c r="P17" s="176">
        <f t="shared" ca="1" si="2"/>
        <v>0</v>
      </c>
      <c r="Q17" s="176">
        <f t="shared" ca="1" si="2"/>
        <v>0</v>
      </c>
      <c r="R17" s="176">
        <f t="shared" ca="1" si="2"/>
        <v>0</v>
      </c>
      <c r="S17" s="176">
        <f t="shared" ca="1" si="2"/>
        <v>0</v>
      </c>
      <c r="T17" s="176">
        <f t="shared" ca="1" si="2"/>
        <v>0</v>
      </c>
      <c r="U17" s="176">
        <f t="shared" ca="1" si="2"/>
        <v>0</v>
      </c>
      <c r="V17" s="176">
        <f t="shared" ca="1" si="2"/>
        <v>0</v>
      </c>
      <c r="W17" s="176"/>
      <c r="X17" s="176">
        <f t="shared" ca="1" si="3"/>
        <v>0</v>
      </c>
      <c r="Y17" s="177" t="e">
        <f t="shared" ca="1" si="4"/>
        <v>#DIV/0!</v>
      </c>
    </row>
    <row r="18" spans="1:25" s="178" customFormat="1" x14ac:dyDescent="0.15">
      <c r="A18" s="179" t="s">
        <v>317</v>
      </c>
      <c r="B18" s="180">
        <v>124</v>
      </c>
      <c r="C18" s="181">
        <v>1</v>
      </c>
      <c r="D18" s="175" t="str">
        <f t="shared" ca="1" si="0"/>
        <v>Thread 2</v>
      </c>
      <c r="E18" s="176">
        <f t="shared" ca="1" si="0"/>
        <v>0</v>
      </c>
      <c r="F18" s="176">
        <f t="shared" ca="1" si="1"/>
        <v>0</v>
      </c>
      <c r="G18" s="176">
        <f t="shared" ca="1" si="2"/>
        <v>0</v>
      </c>
      <c r="H18" s="176">
        <f t="shared" ca="1" si="2"/>
        <v>0</v>
      </c>
      <c r="I18" s="176">
        <f t="shared" ca="1" si="2"/>
        <v>0</v>
      </c>
      <c r="J18" s="176">
        <f t="shared" ca="1" si="2"/>
        <v>0</v>
      </c>
      <c r="K18" s="176">
        <f t="shared" ca="1" si="2"/>
        <v>0</v>
      </c>
      <c r="L18" s="176">
        <f t="shared" ca="1" si="2"/>
        <v>0</v>
      </c>
      <c r="M18" s="176">
        <f t="shared" ca="1" si="2"/>
        <v>0</v>
      </c>
      <c r="N18" s="176">
        <f t="shared" ca="1" si="2"/>
        <v>0</v>
      </c>
      <c r="O18" s="176">
        <f t="shared" ca="1" si="2"/>
        <v>0</v>
      </c>
      <c r="P18" s="176">
        <f t="shared" ca="1" si="2"/>
        <v>0</v>
      </c>
      <c r="Q18" s="176">
        <f t="shared" ca="1" si="2"/>
        <v>0</v>
      </c>
      <c r="R18" s="176">
        <f t="shared" ca="1" si="2"/>
        <v>0</v>
      </c>
      <c r="S18" s="176">
        <f t="shared" ca="1" si="2"/>
        <v>0</v>
      </c>
      <c r="T18" s="176">
        <f t="shared" ca="1" si="2"/>
        <v>0</v>
      </c>
      <c r="U18" s="176">
        <f t="shared" ca="1" si="2"/>
        <v>0</v>
      </c>
      <c r="V18" s="176">
        <f t="shared" ca="1" si="2"/>
        <v>0</v>
      </c>
      <c r="W18" s="176"/>
      <c r="X18" s="176">
        <f t="shared" ca="1" si="3"/>
        <v>0</v>
      </c>
      <c r="Y18" s="177" t="e">
        <f t="shared" ca="1" si="4"/>
        <v>#DIV/0!</v>
      </c>
    </row>
    <row r="19" spans="1:25" s="178" customFormat="1" x14ac:dyDescent="0.15">
      <c r="A19" s="179" t="s">
        <v>317</v>
      </c>
      <c r="B19" s="180">
        <v>125</v>
      </c>
      <c r="C19" s="181">
        <v>1</v>
      </c>
      <c r="D19" s="175" t="str">
        <f t="shared" ca="1" si="0"/>
        <v>Thread 3</v>
      </c>
      <c r="E19" s="176">
        <f t="shared" ca="1" si="0"/>
        <v>0</v>
      </c>
      <c r="F19" s="176">
        <f t="shared" ca="1" si="1"/>
        <v>0</v>
      </c>
      <c r="G19" s="176">
        <f t="shared" ca="1" si="2"/>
        <v>0</v>
      </c>
      <c r="H19" s="176">
        <f t="shared" ca="1" si="2"/>
        <v>0</v>
      </c>
      <c r="I19" s="176">
        <f t="shared" ca="1" si="2"/>
        <v>0</v>
      </c>
      <c r="J19" s="176">
        <f t="shared" ca="1" si="2"/>
        <v>0</v>
      </c>
      <c r="K19" s="176">
        <f t="shared" ca="1" si="2"/>
        <v>0</v>
      </c>
      <c r="L19" s="176">
        <f t="shared" ca="1" si="2"/>
        <v>0</v>
      </c>
      <c r="M19" s="176">
        <f t="shared" ca="1" si="2"/>
        <v>0</v>
      </c>
      <c r="N19" s="176">
        <f t="shared" ca="1" si="2"/>
        <v>0</v>
      </c>
      <c r="O19" s="176">
        <f t="shared" ca="1" si="2"/>
        <v>0</v>
      </c>
      <c r="P19" s="176">
        <f t="shared" ca="1" si="2"/>
        <v>0</v>
      </c>
      <c r="Q19" s="176">
        <f t="shared" ca="1" si="2"/>
        <v>0</v>
      </c>
      <c r="R19" s="176">
        <f t="shared" ca="1" si="2"/>
        <v>0</v>
      </c>
      <c r="S19" s="176">
        <f t="shared" ca="1" si="2"/>
        <v>0</v>
      </c>
      <c r="T19" s="176">
        <f t="shared" ca="1" si="2"/>
        <v>0</v>
      </c>
      <c r="U19" s="176">
        <f t="shared" ca="1" si="2"/>
        <v>0</v>
      </c>
      <c r="V19" s="176">
        <f t="shared" ca="1" si="2"/>
        <v>0</v>
      </c>
      <c r="W19" s="176"/>
      <c r="X19" s="176">
        <f t="shared" ca="1" si="3"/>
        <v>0</v>
      </c>
      <c r="Y19" s="177" t="e">
        <f t="shared" ca="1" si="4"/>
        <v>#DIV/0!</v>
      </c>
    </row>
    <row r="20" spans="1:25" s="178" customFormat="1" x14ac:dyDescent="0.15">
      <c r="A20" s="179" t="s">
        <v>317</v>
      </c>
      <c r="B20" s="180">
        <v>126</v>
      </c>
      <c r="C20" s="181">
        <v>1</v>
      </c>
      <c r="D20" s="175" t="str">
        <f t="shared" ca="1" si="0"/>
        <v>Thread 4</v>
      </c>
      <c r="E20" s="176">
        <f t="shared" ca="1" si="0"/>
        <v>0</v>
      </c>
      <c r="F20" s="176">
        <f t="shared" ca="1" si="1"/>
        <v>0</v>
      </c>
      <c r="G20" s="176">
        <f t="shared" ca="1" si="2"/>
        <v>0</v>
      </c>
      <c r="H20" s="176">
        <f t="shared" ca="1" si="2"/>
        <v>0</v>
      </c>
      <c r="I20" s="176">
        <f t="shared" ca="1" si="2"/>
        <v>0</v>
      </c>
      <c r="J20" s="176">
        <f t="shared" ca="1" si="2"/>
        <v>0</v>
      </c>
      <c r="K20" s="176">
        <f t="shared" ca="1" si="2"/>
        <v>0</v>
      </c>
      <c r="L20" s="176">
        <f t="shared" ca="1" si="2"/>
        <v>0</v>
      </c>
      <c r="M20" s="176">
        <f t="shared" ca="1" si="2"/>
        <v>0</v>
      </c>
      <c r="N20" s="176">
        <f t="shared" ca="1" si="2"/>
        <v>0</v>
      </c>
      <c r="O20" s="176">
        <f t="shared" ca="1" si="2"/>
        <v>0</v>
      </c>
      <c r="P20" s="176">
        <f t="shared" ca="1" si="2"/>
        <v>0</v>
      </c>
      <c r="Q20" s="176">
        <f t="shared" ca="1" si="2"/>
        <v>0</v>
      </c>
      <c r="R20" s="176">
        <f t="shared" ca="1" si="2"/>
        <v>0</v>
      </c>
      <c r="S20" s="176">
        <f t="shared" ca="1" si="2"/>
        <v>0</v>
      </c>
      <c r="T20" s="176">
        <f t="shared" ca="1" si="2"/>
        <v>0</v>
      </c>
      <c r="U20" s="176">
        <f t="shared" ca="1" si="2"/>
        <v>0</v>
      </c>
      <c r="V20" s="176">
        <f t="shared" ca="1" si="2"/>
        <v>0</v>
      </c>
      <c r="W20" s="176"/>
      <c r="X20" s="176">
        <f t="shared" ca="1" si="3"/>
        <v>0</v>
      </c>
      <c r="Y20" s="177" t="e">
        <f t="shared" ca="1" si="4"/>
        <v>#DIV/0!</v>
      </c>
    </row>
    <row r="21" spans="1:25" s="178" customFormat="1" x14ac:dyDescent="0.15">
      <c r="A21" s="179" t="s">
        <v>319</v>
      </c>
      <c r="B21" s="180">
        <v>127</v>
      </c>
      <c r="C21" s="181">
        <v>1</v>
      </c>
      <c r="D21" s="175" t="str">
        <f t="shared" ca="1" si="0"/>
        <v>Thread 5</v>
      </c>
      <c r="E21" s="176">
        <f t="shared" ca="1" si="0"/>
        <v>0</v>
      </c>
      <c r="F21" s="176">
        <f t="shared" ca="1" si="1"/>
        <v>0</v>
      </c>
      <c r="G21" s="176">
        <f t="shared" ca="1" si="2"/>
        <v>0</v>
      </c>
      <c r="H21" s="176">
        <f t="shared" ca="1" si="2"/>
        <v>0</v>
      </c>
      <c r="I21" s="176">
        <f t="shared" ca="1" si="2"/>
        <v>0</v>
      </c>
      <c r="J21" s="176">
        <f t="shared" ca="1" si="2"/>
        <v>0</v>
      </c>
      <c r="K21" s="176">
        <f t="shared" ca="1" si="2"/>
        <v>0</v>
      </c>
      <c r="L21" s="176">
        <f t="shared" ca="1" si="2"/>
        <v>0</v>
      </c>
      <c r="M21" s="176">
        <f t="shared" ca="1" si="2"/>
        <v>0</v>
      </c>
      <c r="N21" s="176">
        <f t="shared" ca="1" si="2"/>
        <v>0</v>
      </c>
      <c r="O21" s="176">
        <f t="shared" ca="1" si="2"/>
        <v>0</v>
      </c>
      <c r="P21" s="176">
        <f t="shared" ca="1" si="2"/>
        <v>0</v>
      </c>
      <c r="Q21" s="176">
        <f t="shared" ca="1" si="2"/>
        <v>0</v>
      </c>
      <c r="R21" s="176">
        <f t="shared" ca="1" si="2"/>
        <v>0</v>
      </c>
      <c r="S21" s="176">
        <f t="shared" ca="1" si="2"/>
        <v>0</v>
      </c>
      <c r="T21" s="176">
        <f t="shared" ca="1" si="2"/>
        <v>0</v>
      </c>
      <c r="U21" s="176">
        <f t="shared" ca="1" si="2"/>
        <v>0</v>
      </c>
      <c r="V21" s="176">
        <f t="shared" ca="1" si="2"/>
        <v>0</v>
      </c>
      <c r="W21" s="176"/>
      <c r="X21" s="176">
        <f t="shared" ca="1" si="3"/>
        <v>0</v>
      </c>
      <c r="Y21" s="177" t="e">
        <f t="shared" ca="1" si="4"/>
        <v>#DIV/0!</v>
      </c>
    </row>
    <row r="22" spans="1:25" s="178" customFormat="1" x14ac:dyDescent="0.15">
      <c r="A22" s="179" t="s">
        <v>316</v>
      </c>
      <c r="B22" s="180">
        <v>128</v>
      </c>
      <c r="C22" s="181">
        <v>1</v>
      </c>
      <c r="D22" s="175" t="str">
        <f t="shared" ca="1" si="0"/>
        <v>Thread 6</v>
      </c>
      <c r="E22" s="176">
        <f t="shared" ca="1" si="0"/>
        <v>0</v>
      </c>
      <c r="F22" s="176">
        <f t="shared" ca="1" si="1"/>
        <v>0</v>
      </c>
      <c r="G22" s="176">
        <f t="shared" ca="1" si="2"/>
        <v>0</v>
      </c>
      <c r="H22" s="176">
        <f t="shared" ca="1" si="2"/>
        <v>0</v>
      </c>
      <c r="I22" s="176">
        <f t="shared" ca="1" si="2"/>
        <v>0</v>
      </c>
      <c r="J22" s="176">
        <f t="shared" ca="1" si="2"/>
        <v>0</v>
      </c>
      <c r="K22" s="176">
        <f t="shared" ca="1" si="2"/>
        <v>0</v>
      </c>
      <c r="L22" s="176">
        <f t="shared" ca="1" si="2"/>
        <v>0</v>
      </c>
      <c r="M22" s="176">
        <f t="shared" ca="1" si="2"/>
        <v>0</v>
      </c>
      <c r="N22" s="176">
        <f t="shared" ca="1" si="2"/>
        <v>0</v>
      </c>
      <c r="O22" s="176">
        <f t="shared" ca="1" si="2"/>
        <v>0</v>
      </c>
      <c r="P22" s="176">
        <f t="shared" ca="1" si="2"/>
        <v>0</v>
      </c>
      <c r="Q22" s="176">
        <f t="shared" ca="1" si="2"/>
        <v>0</v>
      </c>
      <c r="R22" s="176">
        <f t="shared" ca="1" si="2"/>
        <v>0</v>
      </c>
      <c r="S22" s="176">
        <f t="shared" ca="1" si="2"/>
        <v>0</v>
      </c>
      <c r="T22" s="176">
        <f t="shared" ca="1" si="2"/>
        <v>0</v>
      </c>
      <c r="U22" s="176">
        <f t="shared" ca="1" si="2"/>
        <v>0</v>
      </c>
      <c r="V22" s="176">
        <f t="shared" ca="1" si="2"/>
        <v>0</v>
      </c>
      <c r="W22" s="176"/>
      <c r="X22" s="176">
        <f t="shared" ca="1" si="3"/>
        <v>0</v>
      </c>
      <c r="Y22" s="177" t="e">
        <f t="shared" ca="1" si="4"/>
        <v>#DIV/0!</v>
      </c>
    </row>
    <row r="23" spans="1:25" s="178" customFormat="1" x14ac:dyDescent="0.15">
      <c r="A23" s="179" t="s">
        <v>316</v>
      </c>
      <c r="B23" s="180">
        <v>129</v>
      </c>
      <c r="C23" s="181">
        <v>1</v>
      </c>
      <c r="D23" s="175" t="str">
        <f t="shared" ca="1" si="0"/>
        <v>Thread 7</v>
      </c>
      <c r="E23" s="176">
        <f t="shared" ca="1" si="0"/>
        <v>0</v>
      </c>
      <c r="F23" s="176">
        <f t="shared" ca="1" si="1"/>
        <v>0</v>
      </c>
      <c r="G23" s="176">
        <f t="shared" ca="1" si="2"/>
        <v>0</v>
      </c>
      <c r="H23" s="176">
        <f t="shared" ca="1" si="2"/>
        <v>0</v>
      </c>
      <c r="I23" s="176">
        <f t="shared" ca="1" si="2"/>
        <v>0</v>
      </c>
      <c r="J23" s="176">
        <f t="shared" ca="1" si="2"/>
        <v>0</v>
      </c>
      <c r="K23" s="176">
        <f t="shared" ca="1" si="2"/>
        <v>0</v>
      </c>
      <c r="L23" s="176">
        <f t="shared" ca="1" si="2"/>
        <v>0</v>
      </c>
      <c r="M23" s="176">
        <f t="shared" ca="1" si="2"/>
        <v>0</v>
      </c>
      <c r="N23" s="176">
        <f t="shared" ca="1" si="2"/>
        <v>0</v>
      </c>
      <c r="O23" s="176">
        <f t="shared" ca="1" si="2"/>
        <v>0</v>
      </c>
      <c r="P23" s="176">
        <f t="shared" ca="1" si="2"/>
        <v>0</v>
      </c>
      <c r="Q23" s="176">
        <f t="shared" ca="1" si="2"/>
        <v>0</v>
      </c>
      <c r="R23" s="176">
        <f t="shared" ca="1" si="2"/>
        <v>0</v>
      </c>
      <c r="S23" s="176">
        <f t="shared" ca="1" si="2"/>
        <v>0</v>
      </c>
      <c r="T23" s="176">
        <f t="shared" ca="1" si="2"/>
        <v>0</v>
      </c>
      <c r="U23" s="176">
        <f t="shared" ca="1" si="2"/>
        <v>0</v>
      </c>
      <c r="V23" s="176">
        <f t="shared" ca="1" si="2"/>
        <v>0</v>
      </c>
      <c r="W23" s="176"/>
      <c r="X23" s="176">
        <f t="shared" ca="1" si="3"/>
        <v>0</v>
      </c>
      <c r="Y23" s="177" t="e">
        <f t="shared" ca="1" si="4"/>
        <v>#DIV/0!</v>
      </c>
    </row>
    <row r="24" spans="1:25" s="178" customFormat="1" x14ac:dyDescent="0.15">
      <c r="A24" s="179" t="s">
        <v>316</v>
      </c>
      <c r="B24" s="180">
        <v>130</v>
      </c>
      <c r="C24" s="181">
        <v>1</v>
      </c>
      <c r="D24" s="175" t="str">
        <f t="shared" ca="1" si="0"/>
        <v>Thread 8</v>
      </c>
      <c r="E24" s="176">
        <f t="shared" ca="1" si="0"/>
        <v>0</v>
      </c>
      <c r="F24" s="176">
        <f t="shared" ca="1" si="1"/>
        <v>0</v>
      </c>
      <c r="G24" s="176">
        <f t="shared" ca="1" si="2"/>
        <v>0</v>
      </c>
      <c r="H24" s="176">
        <f t="shared" ca="1" si="2"/>
        <v>0</v>
      </c>
      <c r="I24" s="176">
        <f t="shared" ca="1" si="2"/>
        <v>0</v>
      </c>
      <c r="J24" s="176">
        <f t="shared" ca="1" si="2"/>
        <v>0</v>
      </c>
      <c r="K24" s="176">
        <f t="shared" ca="1" si="2"/>
        <v>0</v>
      </c>
      <c r="L24" s="176">
        <f t="shared" ca="1" si="2"/>
        <v>0</v>
      </c>
      <c r="M24" s="176">
        <f t="shared" ca="1" si="2"/>
        <v>0</v>
      </c>
      <c r="N24" s="176">
        <f t="shared" ca="1" si="2"/>
        <v>0</v>
      </c>
      <c r="O24" s="176">
        <f t="shared" ca="1" si="2"/>
        <v>0</v>
      </c>
      <c r="P24" s="176">
        <f t="shared" ca="1" si="2"/>
        <v>0</v>
      </c>
      <c r="Q24" s="176">
        <f t="shared" ca="1" si="2"/>
        <v>0</v>
      </c>
      <c r="R24" s="176">
        <f t="shared" ca="1" si="2"/>
        <v>0</v>
      </c>
      <c r="S24" s="176">
        <f t="shared" ca="1" si="2"/>
        <v>0</v>
      </c>
      <c r="T24" s="176">
        <f t="shared" ca="1" si="2"/>
        <v>0</v>
      </c>
      <c r="U24" s="176">
        <f t="shared" ca="1" si="2"/>
        <v>0</v>
      </c>
      <c r="V24" s="176">
        <f t="shared" ca="1" si="2"/>
        <v>0</v>
      </c>
      <c r="W24" s="176"/>
      <c r="X24" s="176">
        <f t="shared" ca="1" si="3"/>
        <v>0</v>
      </c>
      <c r="Y24" s="177" t="e">
        <f t="shared" ca="1" si="4"/>
        <v>#DIV/0!</v>
      </c>
    </row>
    <row r="25" spans="1:25" s="178" customFormat="1" x14ac:dyDescent="0.15">
      <c r="A25" s="179" t="s">
        <v>316</v>
      </c>
      <c r="B25" s="180">
        <v>131</v>
      </c>
      <c r="C25" s="181">
        <v>1</v>
      </c>
      <c r="D25" s="175" t="str">
        <f t="shared" ca="1" si="0"/>
        <v>Thread 9</v>
      </c>
      <c r="E25" s="176">
        <f t="shared" ca="1" si="0"/>
        <v>0</v>
      </c>
      <c r="F25" s="176">
        <f t="shared" ca="1" si="1"/>
        <v>0</v>
      </c>
      <c r="G25" s="176">
        <f t="shared" ca="1" si="2"/>
        <v>0</v>
      </c>
      <c r="H25" s="176">
        <f t="shared" ca="1" si="2"/>
        <v>0</v>
      </c>
      <c r="I25" s="176">
        <f t="shared" ca="1" si="2"/>
        <v>0</v>
      </c>
      <c r="J25" s="176">
        <f t="shared" ca="1" si="2"/>
        <v>0</v>
      </c>
      <c r="K25" s="176">
        <f t="shared" ca="1" si="2"/>
        <v>0</v>
      </c>
      <c r="L25" s="176">
        <f t="shared" ca="1" si="2"/>
        <v>0</v>
      </c>
      <c r="M25" s="176">
        <f t="shared" ca="1" si="2"/>
        <v>0</v>
      </c>
      <c r="N25" s="176">
        <f t="shared" ca="1" si="2"/>
        <v>0</v>
      </c>
      <c r="O25" s="176">
        <f t="shared" ca="1" si="2"/>
        <v>0</v>
      </c>
      <c r="P25" s="176">
        <f t="shared" ca="1" si="2"/>
        <v>0</v>
      </c>
      <c r="Q25" s="176">
        <f t="shared" ca="1" si="2"/>
        <v>0</v>
      </c>
      <c r="R25" s="176">
        <f t="shared" ca="1" si="2"/>
        <v>0</v>
      </c>
      <c r="S25" s="176">
        <f t="shared" ca="1" si="2"/>
        <v>0</v>
      </c>
      <c r="T25" s="176">
        <f t="shared" ca="1" si="2"/>
        <v>0</v>
      </c>
      <c r="U25" s="176">
        <f t="shared" ca="1" si="2"/>
        <v>0</v>
      </c>
      <c r="V25" s="176">
        <f t="shared" ca="1" si="2"/>
        <v>0</v>
      </c>
      <c r="W25" s="176"/>
      <c r="X25" s="176">
        <f t="shared" ca="1" si="3"/>
        <v>0</v>
      </c>
      <c r="Y25" s="177" t="e">
        <f t="shared" ca="1" si="4"/>
        <v>#DIV/0!</v>
      </c>
    </row>
    <row r="26" spans="1:25" s="178" customFormat="1" x14ac:dyDescent="0.15">
      <c r="A26" s="179" t="s">
        <v>316</v>
      </c>
      <c r="B26" s="180">
        <v>132</v>
      </c>
      <c r="C26" s="181">
        <v>1</v>
      </c>
      <c r="D26" s="175" t="str">
        <f t="shared" ca="1" si="0"/>
        <v>Thread 10</v>
      </c>
      <c r="E26" s="176">
        <f t="shared" ca="1" si="0"/>
        <v>0</v>
      </c>
      <c r="F26" s="176">
        <f t="shared" ca="1" si="1"/>
        <v>0</v>
      </c>
      <c r="G26" s="176">
        <f t="shared" ref="G26:V31" ca="1" si="5">INDIRECT($A26&amp;"!"&amp;G$14&amp;$B26)</f>
        <v>0</v>
      </c>
      <c r="H26" s="176">
        <f t="shared" ca="1" si="5"/>
        <v>0</v>
      </c>
      <c r="I26" s="176">
        <f t="shared" ca="1" si="5"/>
        <v>0</v>
      </c>
      <c r="J26" s="176">
        <f t="shared" ca="1" si="5"/>
        <v>0</v>
      </c>
      <c r="K26" s="176">
        <f t="shared" ca="1" si="5"/>
        <v>0</v>
      </c>
      <c r="L26" s="176">
        <f t="shared" ca="1" si="5"/>
        <v>0</v>
      </c>
      <c r="M26" s="176">
        <f t="shared" ca="1" si="5"/>
        <v>0</v>
      </c>
      <c r="N26" s="176">
        <f t="shared" ca="1" si="5"/>
        <v>0</v>
      </c>
      <c r="O26" s="176">
        <f t="shared" ca="1" si="5"/>
        <v>0</v>
      </c>
      <c r="P26" s="176">
        <f t="shared" ca="1" si="5"/>
        <v>0</v>
      </c>
      <c r="Q26" s="176">
        <f t="shared" ca="1" si="5"/>
        <v>0</v>
      </c>
      <c r="R26" s="176">
        <f t="shared" ca="1" si="5"/>
        <v>0</v>
      </c>
      <c r="S26" s="176">
        <f t="shared" ca="1" si="5"/>
        <v>0</v>
      </c>
      <c r="T26" s="176">
        <f t="shared" ca="1" si="5"/>
        <v>0</v>
      </c>
      <c r="U26" s="176">
        <f t="shared" ca="1" si="5"/>
        <v>0</v>
      </c>
      <c r="V26" s="176">
        <f t="shared" ca="1" si="5"/>
        <v>0</v>
      </c>
      <c r="W26" s="176"/>
      <c r="X26" s="176">
        <f t="shared" ca="1" si="3"/>
        <v>0</v>
      </c>
      <c r="Y26" s="177" t="e">
        <f t="shared" ca="1" si="4"/>
        <v>#DIV/0!</v>
      </c>
    </row>
    <row r="27" spans="1:25" s="178" customFormat="1" x14ac:dyDescent="0.15">
      <c r="A27" s="179" t="s">
        <v>316</v>
      </c>
      <c r="B27" s="180">
        <v>133</v>
      </c>
      <c r="C27" s="181">
        <v>1</v>
      </c>
      <c r="D27" s="175" t="str">
        <f t="shared" ca="1" si="0"/>
        <v>Thread 11</v>
      </c>
      <c r="E27" s="176">
        <f t="shared" ca="1" si="0"/>
        <v>0</v>
      </c>
      <c r="F27" s="176">
        <f t="shared" ca="1" si="1"/>
        <v>0</v>
      </c>
      <c r="G27" s="176">
        <f t="shared" ca="1" si="5"/>
        <v>0</v>
      </c>
      <c r="H27" s="176">
        <f t="shared" ca="1" si="5"/>
        <v>0</v>
      </c>
      <c r="I27" s="176">
        <f t="shared" ca="1" si="5"/>
        <v>0</v>
      </c>
      <c r="J27" s="176">
        <f t="shared" ca="1" si="5"/>
        <v>0</v>
      </c>
      <c r="K27" s="176">
        <f t="shared" ca="1" si="5"/>
        <v>0</v>
      </c>
      <c r="L27" s="176">
        <f t="shared" ca="1" si="5"/>
        <v>0</v>
      </c>
      <c r="M27" s="176">
        <f t="shared" ca="1" si="5"/>
        <v>0</v>
      </c>
      <c r="N27" s="176">
        <f t="shared" ca="1" si="5"/>
        <v>0</v>
      </c>
      <c r="O27" s="176">
        <f t="shared" ca="1" si="5"/>
        <v>0</v>
      </c>
      <c r="P27" s="176">
        <f t="shared" ca="1" si="5"/>
        <v>0</v>
      </c>
      <c r="Q27" s="176">
        <f t="shared" ca="1" si="5"/>
        <v>0</v>
      </c>
      <c r="R27" s="176">
        <f t="shared" ca="1" si="5"/>
        <v>0</v>
      </c>
      <c r="S27" s="176">
        <f t="shared" ca="1" si="5"/>
        <v>0</v>
      </c>
      <c r="T27" s="176">
        <f t="shared" ca="1" si="5"/>
        <v>0</v>
      </c>
      <c r="U27" s="176">
        <f t="shared" ca="1" si="5"/>
        <v>0</v>
      </c>
      <c r="V27" s="176">
        <f t="shared" ca="1" si="5"/>
        <v>0</v>
      </c>
      <c r="W27" s="176"/>
      <c r="X27" s="176">
        <f t="shared" ca="1" si="3"/>
        <v>0</v>
      </c>
      <c r="Y27" s="177" t="e">
        <f t="shared" ca="1" si="4"/>
        <v>#DIV/0!</v>
      </c>
    </row>
    <row r="28" spans="1:25" s="178" customFormat="1" x14ac:dyDescent="0.15">
      <c r="A28" s="179" t="s">
        <v>316</v>
      </c>
      <c r="B28" s="180">
        <v>134</v>
      </c>
      <c r="C28" s="181">
        <v>1</v>
      </c>
      <c r="D28" s="175" t="str">
        <f t="shared" ca="1" si="0"/>
        <v>Thread 12</v>
      </c>
      <c r="E28" s="176">
        <f t="shared" ca="1" si="0"/>
        <v>0</v>
      </c>
      <c r="F28" s="176">
        <f t="shared" ca="1" si="1"/>
        <v>0</v>
      </c>
      <c r="G28" s="176">
        <f t="shared" ca="1" si="5"/>
        <v>0</v>
      </c>
      <c r="H28" s="176">
        <f t="shared" ca="1" si="5"/>
        <v>0</v>
      </c>
      <c r="I28" s="176">
        <f t="shared" ca="1" si="5"/>
        <v>0</v>
      </c>
      <c r="J28" s="176">
        <f t="shared" ca="1" si="5"/>
        <v>0</v>
      </c>
      <c r="K28" s="176">
        <f t="shared" ca="1" si="5"/>
        <v>0</v>
      </c>
      <c r="L28" s="176">
        <f t="shared" ca="1" si="5"/>
        <v>0</v>
      </c>
      <c r="M28" s="176">
        <f t="shared" ca="1" si="5"/>
        <v>0</v>
      </c>
      <c r="N28" s="176">
        <f t="shared" ca="1" si="5"/>
        <v>0</v>
      </c>
      <c r="O28" s="176">
        <f t="shared" ca="1" si="5"/>
        <v>0</v>
      </c>
      <c r="P28" s="176">
        <f t="shared" ca="1" si="5"/>
        <v>0</v>
      </c>
      <c r="Q28" s="176">
        <f t="shared" ca="1" si="5"/>
        <v>0</v>
      </c>
      <c r="R28" s="176">
        <f t="shared" ca="1" si="5"/>
        <v>0</v>
      </c>
      <c r="S28" s="176">
        <f t="shared" ca="1" si="5"/>
        <v>0</v>
      </c>
      <c r="T28" s="176">
        <f t="shared" ca="1" si="5"/>
        <v>0</v>
      </c>
      <c r="U28" s="176">
        <f t="shared" ca="1" si="5"/>
        <v>0</v>
      </c>
      <c r="V28" s="176">
        <f t="shared" ca="1" si="5"/>
        <v>0</v>
      </c>
      <c r="W28" s="176"/>
      <c r="X28" s="176">
        <f t="shared" ca="1" si="3"/>
        <v>0</v>
      </c>
      <c r="Y28" s="177" t="e">
        <f t="shared" ca="1" si="4"/>
        <v>#DIV/0!</v>
      </c>
    </row>
    <row r="29" spans="1:25" s="178" customFormat="1" x14ac:dyDescent="0.15">
      <c r="A29" s="179" t="s">
        <v>316</v>
      </c>
      <c r="B29" s="180">
        <v>135</v>
      </c>
      <c r="C29" s="181">
        <v>1</v>
      </c>
      <c r="D29" s="175" t="str">
        <f t="shared" ca="1" si="0"/>
        <v>Thread 13</v>
      </c>
      <c r="E29" s="176">
        <f t="shared" ca="1" si="0"/>
        <v>0</v>
      </c>
      <c r="F29" s="176">
        <f t="shared" ca="1" si="1"/>
        <v>0</v>
      </c>
      <c r="G29" s="176">
        <f t="shared" ca="1" si="5"/>
        <v>0</v>
      </c>
      <c r="H29" s="176">
        <f t="shared" ca="1" si="5"/>
        <v>0</v>
      </c>
      <c r="I29" s="176">
        <f t="shared" ca="1" si="5"/>
        <v>0</v>
      </c>
      <c r="J29" s="176">
        <f t="shared" ca="1" si="5"/>
        <v>0</v>
      </c>
      <c r="K29" s="176">
        <f t="shared" ca="1" si="5"/>
        <v>0</v>
      </c>
      <c r="L29" s="176">
        <f t="shared" ca="1" si="5"/>
        <v>0</v>
      </c>
      <c r="M29" s="176">
        <f t="shared" ca="1" si="5"/>
        <v>0</v>
      </c>
      <c r="N29" s="176">
        <f t="shared" ca="1" si="5"/>
        <v>0</v>
      </c>
      <c r="O29" s="176">
        <f t="shared" ca="1" si="5"/>
        <v>0</v>
      </c>
      <c r="P29" s="176">
        <f t="shared" ca="1" si="5"/>
        <v>0</v>
      </c>
      <c r="Q29" s="176">
        <f t="shared" ca="1" si="5"/>
        <v>0</v>
      </c>
      <c r="R29" s="176">
        <f t="shared" ca="1" si="5"/>
        <v>0</v>
      </c>
      <c r="S29" s="176">
        <f t="shared" ca="1" si="5"/>
        <v>0</v>
      </c>
      <c r="T29" s="176">
        <f t="shared" ca="1" si="5"/>
        <v>0</v>
      </c>
      <c r="U29" s="176">
        <f t="shared" ca="1" si="5"/>
        <v>0</v>
      </c>
      <c r="V29" s="176">
        <f t="shared" ca="1" si="5"/>
        <v>0</v>
      </c>
      <c r="W29" s="176"/>
      <c r="X29" s="176">
        <f t="shared" ca="1" si="3"/>
        <v>0</v>
      </c>
      <c r="Y29" s="177" t="e">
        <f t="shared" ca="1" si="4"/>
        <v>#DIV/0!</v>
      </c>
    </row>
    <row r="30" spans="1:25" s="178" customFormat="1" x14ac:dyDescent="0.15">
      <c r="A30" s="179" t="s">
        <v>316</v>
      </c>
      <c r="B30" s="180">
        <v>136</v>
      </c>
      <c r="C30" s="181">
        <v>1</v>
      </c>
      <c r="D30" s="175" t="str">
        <f t="shared" ca="1" si="0"/>
        <v>Thread 14</v>
      </c>
      <c r="E30" s="176">
        <f t="shared" ca="1" si="0"/>
        <v>0</v>
      </c>
      <c r="F30" s="176">
        <f t="shared" ca="1" si="1"/>
        <v>0</v>
      </c>
      <c r="G30" s="176">
        <f t="shared" ca="1" si="5"/>
        <v>0</v>
      </c>
      <c r="H30" s="176">
        <f t="shared" ca="1" si="5"/>
        <v>0</v>
      </c>
      <c r="I30" s="176">
        <f t="shared" ca="1" si="5"/>
        <v>0</v>
      </c>
      <c r="J30" s="176">
        <f t="shared" ca="1" si="5"/>
        <v>0</v>
      </c>
      <c r="K30" s="176">
        <f t="shared" ca="1" si="5"/>
        <v>0</v>
      </c>
      <c r="L30" s="176">
        <f t="shared" ca="1" si="5"/>
        <v>0</v>
      </c>
      <c r="M30" s="176">
        <f t="shared" ca="1" si="5"/>
        <v>0</v>
      </c>
      <c r="N30" s="176">
        <f t="shared" ca="1" si="5"/>
        <v>0</v>
      </c>
      <c r="O30" s="176">
        <f t="shared" ca="1" si="5"/>
        <v>0</v>
      </c>
      <c r="P30" s="176">
        <f t="shared" ca="1" si="5"/>
        <v>0</v>
      </c>
      <c r="Q30" s="176">
        <f t="shared" ca="1" si="5"/>
        <v>0</v>
      </c>
      <c r="R30" s="176">
        <f t="shared" ca="1" si="5"/>
        <v>0</v>
      </c>
      <c r="S30" s="176">
        <f t="shared" ca="1" si="5"/>
        <v>0</v>
      </c>
      <c r="T30" s="176">
        <f t="shared" ca="1" si="5"/>
        <v>0</v>
      </c>
      <c r="U30" s="176">
        <f t="shared" ca="1" si="5"/>
        <v>0</v>
      </c>
      <c r="V30" s="176">
        <f t="shared" ca="1" si="5"/>
        <v>0</v>
      </c>
      <c r="W30" s="176"/>
      <c r="X30" s="176">
        <f t="shared" ca="1" si="3"/>
        <v>0</v>
      </c>
      <c r="Y30" s="177" t="e">
        <f t="shared" ca="1" si="4"/>
        <v>#DIV/0!</v>
      </c>
    </row>
    <row r="31" spans="1:25" s="178" customFormat="1" x14ac:dyDescent="0.15">
      <c r="A31" s="179" t="s">
        <v>316</v>
      </c>
      <c r="B31" s="180">
        <v>137</v>
      </c>
      <c r="C31" s="181">
        <v>1</v>
      </c>
      <c r="D31" s="175" t="str">
        <f t="shared" ca="1" si="0"/>
        <v>Thread 15</v>
      </c>
      <c r="E31" s="176">
        <f t="shared" ca="1" si="0"/>
        <v>0</v>
      </c>
      <c r="F31" s="176">
        <f t="shared" ca="1" si="1"/>
        <v>0</v>
      </c>
      <c r="G31" s="176">
        <f t="shared" ca="1" si="5"/>
        <v>0</v>
      </c>
      <c r="H31" s="176">
        <f t="shared" ca="1" si="5"/>
        <v>0</v>
      </c>
      <c r="I31" s="176">
        <f t="shared" ca="1" si="5"/>
        <v>0</v>
      </c>
      <c r="J31" s="176">
        <f t="shared" ca="1" si="5"/>
        <v>0</v>
      </c>
      <c r="K31" s="176">
        <f t="shared" ca="1" si="5"/>
        <v>0</v>
      </c>
      <c r="L31" s="176">
        <f t="shared" ca="1" si="5"/>
        <v>0</v>
      </c>
      <c r="M31" s="176">
        <f t="shared" ca="1" si="5"/>
        <v>0</v>
      </c>
      <c r="N31" s="176">
        <f t="shared" ca="1" si="5"/>
        <v>0</v>
      </c>
      <c r="O31" s="176">
        <f t="shared" ca="1" si="5"/>
        <v>0</v>
      </c>
      <c r="P31" s="176">
        <f t="shared" ca="1" si="5"/>
        <v>0</v>
      </c>
      <c r="Q31" s="176">
        <f t="shared" ca="1" si="5"/>
        <v>0</v>
      </c>
      <c r="R31" s="176">
        <f t="shared" ca="1" si="5"/>
        <v>0</v>
      </c>
      <c r="S31" s="176">
        <f t="shared" ca="1" si="5"/>
        <v>0</v>
      </c>
      <c r="T31" s="176">
        <f t="shared" ca="1" si="5"/>
        <v>0</v>
      </c>
      <c r="U31" s="176">
        <f t="shared" ca="1" si="5"/>
        <v>0</v>
      </c>
      <c r="V31" s="176">
        <f t="shared" ca="1" si="5"/>
        <v>0</v>
      </c>
      <c r="W31" s="176"/>
      <c r="X31" s="176">
        <f t="shared" ca="1" si="3"/>
        <v>0</v>
      </c>
      <c r="Y31" s="177" t="e">
        <f t="shared" ca="1" si="4"/>
        <v>#DIV/0!</v>
      </c>
    </row>
    <row r="32" spans="1:25" s="178" customFormat="1" x14ac:dyDescent="0.15">
      <c r="A32" s="183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5"/>
    </row>
    <row r="33" spans="1:24" x14ac:dyDescent="0.15">
      <c r="D33" s="186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</row>
    <row r="34" spans="1:24" ht="12" thickBot="1" x14ac:dyDescent="0.2"/>
    <row r="35" spans="1:24" ht="15" thickBot="1" x14ac:dyDescent="0.2">
      <c r="A35" s="188" t="s">
        <v>53</v>
      </c>
      <c r="B35" s="189"/>
      <c r="C35" s="189"/>
      <c r="D35" s="161" t="s">
        <v>109</v>
      </c>
      <c r="E35" s="161" t="s">
        <v>104</v>
      </c>
      <c r="F35" s="161" t="s">
        <v>105</v>
      </c>
      <c r="G35" s="161" t="s">
        <v>106</v>
      </c>
      <c r="H35" s="161" t="s">
        <v>107</v>
      </c>
      <c r="I35" s="161" t="s">
        <v>100</v>
      </c>
      <c r="J35" s="161" t="s">
        <v>108</v>
      </c>
      <c r="K35" s="161" t="s">
        <v>88</v>
      </c>
      <c r="L35" s="161" t="s">
        <v>89</v>
      </c>
      <c r="M35" s="161" t="s">
        <v>90</v>
      </c>
      <c r="N35" s="161" t="s">
        <v>91</v>
      </c>
      <c r="O35" s="161" t="s">
        <v>92</v>
      </c>
      <c r="P35" s="161" t="s">
        <v>93</v>
      </c>
      <c r="Q35" s="161" t="s">
        <v>94</v>
      </c>
      <c r="R35" s="161" t="s">
        <v>95</v>
      </c>
      <c r="S35" s="161" t="s">
        <v>96</v>
      </c>
      <c r="T35" s="161" t="s">
        <v>97</v>
      </c>
      <c r="U35" s="161" t="s">
        <v>98</v>
      </c>
      <c r="V35" s="161" t="s">
        <v>99</v>
      </c>
    </row>
    <row r="36" spans="1:24" ht="12" thickBot="1" x14ac:dyDescent="0.2">
      <c r="A36" s="164" t="s">
        <v>112</v>
      </c>
      <c r="B36" s="190" t="s">
        <v>111</v>
      </c>
      <c r="C36" s="191"/>
      <c r="D36" s="192"/>
      <c r="E36" s="168" t="str">
        <f t="shared" ref="E36:V36" si="6">E15</f>
        <v>整数ロードメモリアクセス待ち</v>
      </c>
      <c r="F36" s="168" t="str">
        <f t="shared" si="6"/>
        <v>浮動小数点ロードメモリアクセス待ち</v>
      </c>
      <c r="G36" s="168" t="str">
        <f t="shared" si="6"/>
        <v>ストア待ち</v>
      </c>
      <c r="H36" s="169" t="str">
        <f t="shared" si="6"/>
        <v>I/Oアクセス待ち</v>
      </c>
      <c r="I36" s="170" t="str">
        <f t="shared" si="6"/>
        <v>整数ロードキャッシュアクセス待ち</v>
      </c>
      <c r="J36" s="170" t="str">
        <f t="shared" si="6"/>
        <v>浮動小数点ロードキャッシュアクセス待ち</v>
      </c>
      <c r="K36" s="171" t="str">
        <f t="shared" si="6"/>
        <v>整数演算待ち</v>
      </c>
      <c r="L36" s="171" t="str">
        <f t="shared" si="6"/>
        <v>浮動小数点演算待ち</v>
      </c>
      <c r="M36" s="169" t="str">
        <f t="shared" si="6"/>
        <v>分岐命令待ち</v>
      </c>
      <c r="N36" s="169" t="str">
        <f t="shared" si="6"/>
        <v>命令フェッチ待ち</v>
      </c>
      <c r="O36" s="169" t="str">
        <f t="shared" si="6"/>
        <v>バリア同期待ち</v>
      </c>
      <c r="P36" s="169" t="str">
        <f t="shared" si="6"/>
        <v>uOPコミット</v>
      </c>
      <c r="Q36" s="169" t="str">
        <f t="shared" si="6"/>
        <v>その他の待ち</v>
      </c>
      <c r="R36" s="169" t="str">
        <f t="shared" si="6"/>
        <v>1命令コミット</v>
      </c>
      <c r="S36" s="169" t="str">
        <f t="shared" si="6"/>
        <v>整数レジスタ書き込み制約</v>
      </c>
      <c r="T36" s="169" t="str">
        <f t="shared" si="6"/>
        <v>浮動小数点レジスタ書き込み制約</v>
      </c>
      <c r="U36" s="169" t="str">
        <f t="shared" si="6"/>
        <v>2/3命令コミット</v>
      </c>
      <c r="V36" s="169" t="str">
        <f t="shared" si="6"/>
        <v>4命令コミット</v>
      </c>
      <c r="W36" s="169"/>
      <c r="X36" s="169" t="str">
        <f>X15</f>
        <v>total</v>
      </c>
    </row>
    <row r="37" spans="1:24" s="178" customFormat="1" x14ac:dyDescent="0.15">
      <c r="A37" s="172" t="s">
        <v>317</v>
      </c>
      <c r="B37" s="193">
        <v>74</v>
      </c>
      <c r="C37" s="194"/>
      <c r="D37" s="195" t="str">
        <f t="shared" ref="D37:M46" ca="1" si="7">INDIRECT($A37&amp;"!"&amp;D$35&amp;$B37)</f>
        <v>Thread 0</v>
      </c>
      <c r="E37" s="195" t="e">
        <f t="shared" ca="1" si="7"/>
        <v>#DIV/0!</v>
      </c>
      <c r="F37" s="195" t="e">
        <f t="shared" ca="1" si="7"/>
        <v>#DIV/0!</v>
      </c>
      <c r="G37" s="195" t="e">
        <f t="shared" ca="1" si="7"/>
        <v>#DIV/0!</v>
      </c>
      <c r="H37" s="195" t="e">
        <f t="shared" ca="1" si="7"/>
        <v>#DIV/0!</v>
      </c>
      <c r="I37" s="195" t="e">
        <f t="shared" ca="1" si="7"/>
        <v>#DIV/0!</v>
      </c>
      <c r="J37" s="195" t="e">
        <f t="shared" ca="1" si="7"/>
        <v>#DIV/0!</v>
      </c>
      <c r="K37" s="195" t="e">
        <f t="shared" ca="1" si="7"/>
        <v>#DIV/0!</v>
      </c>
      <c r="L37" s="195" t="e">
        <f t="shared" ca="1" si="7"/>
        <v>#DIV/0!</v>
      </c>
      <c r="M37" s="195" t="e">
        <f t="shared" ca="1" si="7"/>
        <v>#DIV/0!</v>
      </c>
      <c r="N37" s="195" t="e">
        <f t="shared" ref="N37:V46" ca="1" si="8">INDIRECT($A37&amp;"!"&amp;N$35&amp;$B37)</f>
        <v>#DIV/0!</v>
      </c>
      <c r="O37" s="195" t="e">
        <f t="shared" ca="1" si="8"/>
        <v>#DIV/0!</v>
      </c>
      <c r="P37" s="195" t="e">
        <f t="shared" ca="1" si="8"/>
        <v>#DIV/0!</v>
      </c>
      <c r="Q37" s="195" t="e">
        <f t="shared" ca="1" si="8"/>
        <v>#DIV/0!</v>
      </c>
      <c r="R37" s="195" t="e">
        <f t="shared" ca="1" si="8"/>
        <v>#DIV/0!</v>
      </c>
      <c r="S37" s="195" t="e">
        <f t="shared" ca="1" si="8"/>
        <v>#DIV/0!</v>
      </c>
      <c r="T37" s="195">
        <f t="shared" ca="1" si="8"/>
        <v>0</v>
      </c>
      <c r="U37" s="195" t="e">
        <f t="shared" ca="1" si="8"/>
        <v>#DIV/0!</v>
      </c>
      <c r="V37" s="195" t="e">
        <f t="shared" ca="1" si="8"/>
        <v>#DIV/0!</v>
      </c>
      <c r="W37" s="176"/>
      <c r="X37" s="176" t="e">
        <f t="shared" ref="X37:X57" ca="1" si="9">SUM(E37:W37)</f>
        <v>#DIV/0!</v>
      </c>
    </row>
    <row r="38" spans="1:24" s="178" customFormat="1" x14ac:dyDescent="0.15">
      <c r="A38" s="179" t="s">
        <v>317</v>
      </c>
      <c r="B38" s="196">
        <v>75</v>
      </c>
      <c r="C38" s="194"/>
      <c r="D38" s="195" t="str">
        <f t="shared" ca="1" si="7"/>
        <v>Thread 1</v>
      </c>
      <c r="E38" s="195" t="e">
        <f t="shared" ca="1" si="7"/>
        <v>#DIV/0!</v>
      </c>
      <c r="F38" s="195" t="e">
        <f t="shared" ca="1" si="7"/>
        <v>#DIV/0!</v>
      </c>
      <c r="G38" s="195" t="e">
        <f t="shared" ca="1" si="7"/>
        <v>#DIV/0!</v>
      </c>
      <c r="H38" s="195" t="e">
        <f t="shared" ca="1" si="7"/>
        <v>#DIV/0!</v>
      </c>
      <c r="I38" s="195" t="e">
        <f t="shared" ca="1" si="7"/>
        <v>#DIV/0!</v>
      </c>
      <c r="J38" s="195" t="e">
        <f t="shared" ca="1" si="7"/>
        <v>#DIV/0!</v>
      </c>
      <c r="K38" s="195" t="e">
        <f t="shared" ca="1" si="7"/>
        <v>#DIV/0!</v>
      </c>
      <c r="L38" s="195" t="e">
        <f t="shared" ca="1" si="7"/>
        <v>#DIV/0!</v>
      </c>
      <c r="M38" s="195" t="e">
        <f t="shared" ca="1" si="7"/>
        <v>#DIV/0!</v>
      </c>
      <c r="N38" s="195" t="e">
        <f t="shared" ca="1" si="8"/>
        <v>#DIV/0!</v>
      </c>
      <c r="O38" s="195" t="e">
        <f t="shared" ca="1" si="8"/>
        <v>#DIV/0!</v>
      </c>
      <c r="P38" s="195" t="e">
        <f t="shared" ca="1" si="8"/>
        <v>#DIV/0!</v>
      </c>
      <c r="Q38" s="195" t="e">
        <f t="shared" ca="1" si="8"/>
        <v>#DIV/0!</v>
      </c>
      <c r="R38" s="195" t="e">
        <f t="shared" ca="1" si="8"/>
        <v>#DIV/0!</v>
      </c>
      <c r="S38" s="195" t="e">
        <f t="shared" ca="1" si="8"/>
        <v>#DIV/0!</v>
      </c>
      <c r="T38" s="195">
        <f t="shared" ca="1" si="8"/>
        <v>0</v>
      </c>
      <c r="U38" s="195" t="e">
        <f t="shared" ca="1" si="8"/>
        <v>#DIV/0!</v>
      </c>
      <c r="V38" s="195" t="e">
        <f t="shared" ca="1" si="8"/>
        <v>#DIV/0!</v>
      </c>
      <c r="W38" s="176"/>
      <c r="X38" s="176" t="e">
        <f t="shared" ca="1" si="9"/>
        <v>#DIV/0!</v>
      </c>
    </row>
    <row r="39" spans="1:24" s="178" customFormat="1" x14ac:dyDescent="0.15">
      <c r="A39" s="179" t="s">
        <v>317</v>
      </c>
      <c r="B39" s="196">
        <v>76</v>
      </c>
      <c r="C39" s="194"/>
      <c r="D39" s="195" t="str">
        <f t="shared" ca="1" si="7"/>
        <v>Thread 2</v>
      </c>
      <c r="E39" s="195" t="e">
        <f t="shared" ca="1" si="7"/>
        <v>#DIV/0!</v>
      </c>
      <c r="F39" s="195" t="e">
        <f t="shared" ca="1" si="7"/>
        <v>#DIV/0!</v>
      </c>
      <c r="G39" s="195" t="e">
        <f t="shared" ca="1" si="7"/>
        <v>#DIV/0!</v>
      </c>
      <c r="H39" s="195" t="e">
        <f t="shared" ca="1" si="7"/>
        <v>#DIV/0!</v>
      </c>
      <c r="I39" s="195" t="e">
        <f t="shared" ca="1" si="7"/>
        <v>#DIV/0!</v>
      </c>
      <c r="J39" s="195" t="e">
        <f t="shared" ca="1" si="7"/>
        <v>#DIV/0!</v>
      </c>
      <c r="K39" s="195" t="e">
        <f t="shared" ca="1" si="7"/>
        <v>#DIV/0!</v>
      </c>
      <c r="L39" s="195" t="e">
        <f t="shared" ca="1" si="7"/>
        <v>#DIV/0!</v>
      </c>
      <c r="M39" s="195" t="e">
        <f t="shared" ca="1" si="7"/>
        <v>#DIV/0!</v>
      </c>
      <c r="N39" s="195" t="e">
        <f t="shared" ca="1" si="8"/>
        <v>#DIV/0!</v>
      </c>
      <c r="O39" s="195" t="e">
        <f t="shared" ca="1" si="8"/>
        <v>#DIV/0!</v>
      </c>
      <c r="P39" s="195" t="e">
        <f t="shared" ca="1" si="8"/>
        <v>#DIV/0!</v>
      </c>
      <c r="Q39" s="195" t="e">
        <f t="shared" ca="1" si="8"/>
        <v>#DIV/0!</v>
      </c>
      <c r="R39" s="195" t="e">
        <f t="shared" ca="1" si="8"/>
        <v>#DIV/0!</v>
      </c>
      <c r="S39" s="195" t="e">
        <f t="shared" ca="1" si="8"/>
        <v>#DIV/0!</v>
      </c>
      <c r="T39" s="195">
        <f t="shared" ca="1" si="8"/>
        <v>0</v>
      </c>
      <c r="U39" s="195" t="e">
        <f t="shared" ca="1" si="8"/>
        <v>#DIV/0!</v>
      </c>
      <c r="V39" s="195" t="e">
        <f t="shared" ca="1" si="8"/>
        <v>#DIV/0!</v>
      </c>
      <c r="W39" s="176"/>
      <c r="X39" s="176" t="e">
        <f t="shared" ca="1" si="9"/>
        <v>#DIV/0!</v>
      </c>
    </row>
    <row r="40" spans="1:24" s="178" customFormat="1" x14ac:dyDescent="0.15">
      <c r="A40" s="179" t="s">
        <v>316</v>
      </c>
      <c r="B40" s="196">
        <v>77</v>
      </c>
      <c r="C40" s="194"/>
      <c r="D40" s="195" t="str">
        <f t="shared" ca="1" si="7"/>
        <v>Thread 3</v>
      </c>
      <c r="E40" s="195" t="e">
        <f t="shared" ca="1" si="7"/>
        <v>#DIV/0!</v>
      </c>
      <c r="F40" s="195" t="e">
        <f t="shared" ca="1" si="7"/>
        <v>#DIV/0!</v>
      </c>
      <c r="G40" s="195" t="e">
        <f t="shared" ca="1" si="7"/>
        <v>#DIV/0!</v>
      </c>
      <c r="H40" s="195" t="e">
        <f t="shared" ca="1" si="7"/>
        <v>#DIV/0!</v>
      </c>
      <c r="I40" s="195" t="e">
        <f t="shared" ca="1" si="7"/>
        <v>#DIV/0!</v>
      </c>
      <c r="J40" s="195" t="e">
        <f t="shared" ca="1" si="7"/>
        <v>#DIV/0!</v>
      </c>
      <c r="K40" s="195" t="e">
        <f t="shared" ca="1" si="7"/>
        <v>#DIV/0!</v>
      </c>
      <c r="L40" s="195" t="e">
        <f t="shared" ca="1" si="7"/>
        <v>#DIV/0!</v>
      </c>
      <c r="M40" s="195" t="e">
        <f t="shared" ca="1" si="7"/>
        <v>#DIV/0!</v>
      </c>
      <c r="N40" s="195" t="e">
        <f t="shared" ca="1" si="8"/>
        <v>#DIV/0!</v>
      </c>
      <c r="O40" s="195" t="e">
        <f t="shared" ca="1" si="8"/>
        <v>#DIV/0!</v>
      </c>
      <c r="P40" s="195" t="e">
        <f t="shared" ca="1" si="8"/>
        <v>#DIV/0!</v>
      </c>
      <c r="Q40" s="195" t="e">
        <f t="shared" ca="1" si="8"/>
        <v>#DIV/0!</v>
      </c>
      <c r="R40" s="195" t="e">
        <f t="shared" ca="1" si="8"/>
        <v>#DIV/0!</v>
      </c>
      <c r="S40" s="195" t="e">
        <f t="shared" ca="1" si="8"/>
        <v>#DIV/0!</v>
      </c>
      <c r="T40" s="195">
        <f t="shared" ca="1" si="8"/>
        <v>0</v>
      </c>
      <c r="U40" s="195" t="e">
        <f t="shared" ca="1" si="8"/>
        <v>#DIV/0!</v>
      </c>
      <c r="V40" s="195" t="e">
        <f t="shared" ca="1" si="8"/>
        <v>#DIV/0!</v>
      </c>
      <c r="W40" s="176"/>
      <c r="X40" s="176" t="e">
        <f t="shared" ca="1" si="9"/>
        <v>#DIV/0!</v>
      </c>
    </row>
    <row r="41" spans="1:24" s="178" customFormat="1" x14ac:dyDescent="0.15">
      <c r="A41" s="179" t="s">
        <v>316</v>
      </c>
      <c r="B41" s="196">
        <v>78</v>
      </c>
      <c r="C41" s="194"/>
      <c r="D41" s="195" t="str">
        <f t="shared" ca="1" si="7"/>
        <v>Thread 4</v>
      </c>
      <c r="E41" s="195" t="e">
        <f t="shared" ca="1" si="7"/>
        <v>#DIV/0!</v>
      </c>
      <c r="F41" s="195" t="e">
        <f t="shared" ca="1" si="7"/>
        <v>#DIV/0!</v>
      </c>
      <c r="G41" s="195" t="e">
        <f t="shared" ca="1" si="7"/>
        <v>#DIV/0!</v>
      </c>
      <c r="H41" s="195" t="e">
        <f t="shared" ca="1" si="7"/>
        <v>#DIV/0!</v>
      </c>
      <c r="I41" s="195" t="e">
        <f t="shared" ca="1" si="7"/>
        <v>#DIV/0!</v>
      </c>
      <c r="J41" s="195" t="e">
        <f t="shared" ca="1" si="7"/>
        <v>#DIV/0!</v>
      </c>
      <c r="K41" s="195" t="e">
        <f t="shared" ca="1" si="7"/>
        <v>#DIV/0!</v>
      </c>
      <c r="L41" s="195" t="e">
        <f t="shared" ca="1" si="7"/>
        <v>#DIV/0!</v>
      </c>
      <c r="M41" s="195" t="e">
        <f t="shared" ca="1" si="7"/>
        <v>#DIV/0!</v>
      </c>
      <c r="N41" s="195" t="e">
        <f t="shared" ca="1" si="8"/>
        <v>#DIV/0!</v>
      </c>
      <c r="O41" s="195" t="e">
        <f t="shared" ca="1" si="8"/>
        <v>#DIV/0!</v>
      </c>
      <c r="P41" s="195" t="e">
        <f t="shared" ca="1" si="8"/>
        <v>#DIV/0!</v>
      </c>
      <c r="Q41" s="195" t="e">
        <f t="shared" ca="1" si="8"/>
        <v>#DIV/0!</v>
      </c>
      <c r="R41" s="195" t="e">
        <f t="shared" ca="1" si="8"/>
        <v>#DIV/0!</v>
      </c>
      <c r="S41" s="195" t="e">
        <f t="shared" ca="1" si="8"/>
        <v>#DIV/0!</v>
      </c>
      <c r="T41" s="195">
        <f t="shared" ca="1" si="8"/>
        <v>0</v>
      </c>
      <c r="U41" s="195" t="e">
        <f t="shared" ca="1" si="8"/>
        <v>#DIV/0!</v>
      </c>
      <c r="V41" s="195" t="e">
        <f t="shared" ca="1" si="8"/>
        <v>#DIV/0!</v>
      </c>
      <c r="W41" s="176"/>
      <c r="X41" s="176" t="e">
        <f t="shared" ca="1" si="9"/>
        <v>#DIV/0!</v>
      </c>
    </row>
    <row r="42" spans="1:24" s="178" customFormat="1" x14ac:dyDescent="0.15">
      <c r="A42" s="179" t="s">
        <v>316</v>
      </c>
      <c r="B42" s="196">
        <v>79</v>
      </c>
      <c r="C42" s="194"/>
      <c r="D42" s="195" t="str">
        <f t="shared" ca="1" si="7"/>
        <v>Thread 5</v>
      </c>
      <c r="E42" s="195" t="e">
        <f t="shared" ca="1" si="7"/>
        <v>#DIV/0!</v>
      </c>
      <c r="F42" s="195" t="e">
        <f t="shared" ca="1" si="7"/>
        <v>#DIV/0!</v>
      </c>
      <c r="G42" s="195" t="e">
        <f t="shared" ca="1" si="7"/>
        <v>#DIV/0!</v>
      </c>
      <c r="H42" s="195" t="e">
        <f t="shared" ca="1" si="7"/>
        <v>#DIV/0!</v>
      </c>
      <c r="I42" s="195" t="e">
        <f t="shared" ca="1" si="7"/>
        <v>#DIV/0!</v>
      </c>
      <c r="J42" s="195" t="e">
        <f t="shared" ca="1" si="7"/>
        <v>#DIV/0!</v>
      </c>
      <c r="K42" s="195" t="e">
        <f t="shared" ca="1" si="7"/>
        <v>#DIV/0!</v>
      </c>
      <c r="L42" s="195" t="e">
        <f t="shared" ca="1" si="7"/>
        <v>#DIV/0!</v>
      </c>
      <c r="M42" s="195" t="e">
        <f t="shared" ca="1" si="7"/>
        <v>#DIV/0!</v>
      </c>
      <c r="N42" s="195" t="e">
        <f t="shared" ca="1" si="8"/>
        <v>#DIV/0!</v>
      </c>
      <c r="O42" s="195" t="e">
        <f t="shared" ca="1" si="8"/>
        <v>#DIV/0!</v>
      </c>
      <c r="P42" s="195" t="e">
        <f t="shared" ca="1" si="8"/>
        <v>#DIV/0!</v>
      </c>
      <c r="Q42" s="195" t="e">
        <f t="shared" ca="1" si="8"/>
        <v>#DIV/0!</v>
      </c>
      <c r="R42" s="195" t="e">
        <f t="shared" ca="1" si="8"/>
        <v>#DIV/0!</v>
      </c>
      <c r="S42" s="195" t="e">
        <f t="shared" ca="1" si="8"/>
        <v>#DIV/0!</v>
      </c>
      <c r="T42" s="195">
        <f t="shared" ca="1" si="8"/>
        <v>0</v>
      </c>
      <c r="U42" s="195" t="e">
        <f t="shared" ca="1" si="8"/>
        <v>#DIV/0!</v>
      </c>
      <c r="V42" s="195" t="e">
        <f t="shared" ca="1" si="8"/>
        <v>#DIV/0!</v>
      </c>
      <c r="W42" s="176"/>
      <c r="X42" s="176" t="e">
        <f t="shared" ca="1" si="9"/>
        <v>#DIV/0!</v>
      </c>
    </row>
    <row r="43" spans="1:24" s="178" customFormat="1" x14ac:dyDescent="0.15">
      <c r="A43" s="179" t="s">
        <v>316</v>
      </c>
      <c r="B43" s="196">
        <v>80</v>
      </c>
      <c r="C43" s="194"/>
      <c r="D43" s="195" t="str">
        <f t="shared" ca="1" si="7"/>
        <v>Thread 6</v>
      </c>
      <c r="E43" s="195" t="e">
        <f t="shared" ca="1" si="7"/>
        <v>#DIV/0!</v>
      </c>
      <c r="F43" s="195" t="e">
        <f t="shared" ca="1" si="7"/>
        <v>#DIV/0!</v>
      </c>
      <c r="G43" s="195" t="e">
        <f t="shared" ca="1" si="7"/>
        <v>#DIV/0!</v>
      </c>
      <c r="H43" s="195" t="e">
        <f t="shared" ca="1" si="7"/>
        <v>#DIV/0!</v>
      </c>
      <c r="I43" s="195" t="e">
        <f t="shared" ca="1" si="7"/>
        <v>#DIV/0!</v>
      </c>
      <c r="J43" s="195" t="e">
        <f t="shared" ca="1" si="7"/>
        <v>#DIV/0!</v>
      </c>
      <c r="K43" s="195" t="e">
        <f t="shared" ca="1" si="7"/>
        <v>#DIV/0!</v>
      </c>
      <c r="L43" s="195" t="e">
        <f t="shared" ca="1" si="7"/>
        <v>#DIV/0!</v>
      </c>
      <c r="M43" s="195" t="e">
        <f t="shared" ca="1" si="7"/>
        <v>#DIV/0!</v>
      </c>
      <c r="N43" s="195" t="e">
        <f t="shared" ca="1" si="8"/>
        <v>#DIV/0!</v>
      </c>
      <c r="O43" s="195" t="e">
        <f t="shared" ca="1" si="8"/>
        <v>#DIV/0!</v>
      </c>
      <c r="P43" s="195" t="e">
        <f t="shared" ca="1" si="8"/>
        <v>#DIV/0!</v>
      </c>
      <c r="Q43" s="195" t="e">
        <f t="shared" ca="1" si="8"/>
        <v>#DIV/0!</v>
      </c>
      <c r="R43" s="195" t="e">
        <f t="shared" ca="1" si="8"/>
        <v>#DIV/0!</v>
      </c>
      <c r="S43" s="195" t="e">
        <f t="shared" ca="1" si="8"/>
        <v>#DIV/0!</v>
      </c>
      <c r="T43" s="195">
        <f t="shared" ca="1" si="8"/>
        <v>0</v>
      </c>
      <c r="U43" s="195" t="e">
        <f t="shared" ca="1" si="8"/>
        <v>#DIV/0!</v>
      </c>
      <c r="V43" s="195" t="e">
        <f t="shared" ca="1" si="8"/>
        <v>#DIV/0!</v>
      </c>
      <c r="W43" s="176"/>
      <c r="X43" s="176" t="e">
        <f t="shared" ca="1" si="9"/>
        <v>#DIV/0!</v>
      </c>
    </row>
    <row r="44" spans="1:24" s="178" customFormat="1" x14ac:dyDescent="0.15">
      <c r="A44" s="179" t="s">
        <v>316</v>
      </c>
      <c r="B44" s="196">
        <v>81</v>
      </c>
      <c r="C44" s="194"/>
      <c r="D44" s="195" t="str">
        <f t="shared" ca="1" si="7"/>
        <v>Thread 7</v>
      </c>
      <c r="E44" s="195" t="e">
        <f t="shared" ca="1" si="7"/>
        <v>#DIV/0!</v>
      </c>
      <c r="F44" s="195" t="e">
        <f t="shared" ca="1" si="7"/>
        <v>#DIV/0!</v>
      </c>
      <c r="G44" s="195" t="e">
        <f t="shared" ca="1" si="7"/>
        <v>#DIV/0!</v>
      </c>
      <c r="H44" s="195" t="e">
        <f t="shared" ca="1" si="7"/>
        <v>#DIV/0!</v>
      </c>
      <c r="I44" s="195" t="e">
        <f t="shared" ca="1" si="7"/>
        <v>#DIV/0!</v>
      </c>
      <c r="J44" s="195" t="e">
        <f t="shared" ca="1" si="7"/>
        <v>#DIV/0!</v>
      </c>
      <c r="K44" s="195" t="e">
        <f t="shared" ca="1" si="7"/>
        <v>#DIV/0!</v>
      </c>
      <c r="L44" s="195" t="e">
        <f t="shared" ca="1" si="7"/>
        <v>#DIV/0!</v>
      </c>
      <c r="M44" s="195" t="e">
        <f t="shared" ca="1" si="7"/>
        <v>#DIV/0!</v>
      </c>
      <c r="N44" s="195" t="e">
        <f t="shared" ca="1" si="8"/>
        <v>#DIV/0!</v>
      </c>
      <c r="O44" s="195" t="e">
        <f t="shared" ca="1" si="8"/>
        <v>#DIV/0!</v>
      </c>
      <c r="P44" s="195" t="e">
        <f t="shared" ca="1" si="8"/>
        <v>#DIV/0!</v>
      </c>
      <c r="Q44" s="195" t="e">
        <f t="shared" ca="1" si="8"/>
        <v>#DIV/0!</v>
      </c>
      <c r="R44" s="195" t="e">
        <f t="shared" ca="1" si="8"/>
        <v>#DIV/0!</v>
      </c>
      <c r="S44" s="195" t="e">
        <f t="shared" ca="1" si="8"/>
        <v>#DIV/0!</v>
      </c>
      <c r="T44" s="195">
        <f t="shared" ca="1" si="8"/>
        <v>0</v>
      </c>
      <c r="U44" s="195" t="e">
        <f t="shared" ca="1" si="8"/>
        <v>#DIV/0!</v>
      </c>
      <c r="V44" s="195" t="e">
        <f t="shared" ca="1" si="8"/>
        <v>#DIV/0!</v>
      </c>
      <c r="W44" s="176"/>
      <c r="X44" s="176" t="e">
        <f t="shared" ca="1" si="9"/>
        <v>#DIV/0!</v>
      </c>
    </row>
    <row r="45" spans="1:24" s="178" customFormat="1" x14ac:dyDescent="0.15">
      <c r="A45" s="179" t="s">
        <v>316</v>
      </c>
      <c r="B45" s="196">
        <v>82</v>
      </c>
      <c r="C45" s="194"/>
      <c r="D45" s="195" t="str">
        <f t="shared" ca="1" si="7"/>
        <v>Thread 8</v>
      </c>
      <c r="E45" s="195" t="e">
        <f t="shared" ca="1" si="7"/>
        <v>#DIV/0!</v>
      </c>
      <c r="F45" s="195" t="e">
        <f t="shared" ca="1" si="7"/>
        <v>#DIV/0!</v>
      </c>
      <c r="G45" s="195" t="e">
        <f t="shared" ca="1" si="7"/>
        <v>#DIV/0!</v>
      </c>
      <c r="H45" s="195" t="e">
        <f t="shared" ca="1" si="7"/>
        <v>#DIV/0!</v>
      </c>
      <c r="I45" s="195" t="e">
        <f t="shared" ca="1" si="7"/>
        <v>#DIV/0!</v>
      </c>
      <c r="J45" s="195" t="e">
        <f t="shared" ca="1" si="7"/>
        <v>#DIV/0!</v>
      </c>
      <c r="K45" s="195" t="e">
        <f t="shared" ca="1" si="7"/>
        <v>#DIV/0!</v>
      </c>
      <c r="L45" s="195" t="e">
        <f t="shared" ca="1" si="7"/>
        <v>#DIV/0!</v>
      </c>
      <c r="M45" s="195" t="e">
        <f t="shared" ca="1" si="7"/>
        <v>#DIV/0!</v>
      </c>
      <c r="N45" s="195" t="e">
        <f t="shared" ca="1" si="8"/>
        <v>#DIV/0!</v>
      </c>
      <c r="O45" s="195" t="e">
        <f t="shared" ca="1" si="8"/>
        <v>#DIV/0!</v>
      </c>
      <c r="P45" s="195" t="e">
        <f t="shared" ca="1" si="8"/>
        <v>#DIV/0!</v>
      </c>
      <c r="Q45" s="195" t="e">
        <f t="shared" ca="1" si="8"/>
        <v>#DIV/0!</v>
      </c>
      <c r="R45" s="195" t="e">
        <f t="shared" ca="1" si="8"/>
        <v>#DIV/0!</v>
      </c>
      <c r="S45" s="195" t="e">
        <f t="shared" ca="1" si="8"/>
        <v>#DIV/0!</v>
      </c>
      <c r="T45" s="195">
        <f t="shared" ca="1" si="8"/>
        <v>0</v>
      </c>
      <c r="U45" s="195" t="e">
        <f t="shared" ca="1" si="8"/>
        <v>#DIV/0!</v>
      </c>
      <c r="V45" s="195" t="e">
        <f t="shared" ca="1" si="8"/>
        <v>#DIV/0!</v>
      </c>
      <c r="W45" s="176"/>
      <c r="X45" s="176" t="e">
        <f t="shared" ca="1" si="9"/>
        <v>#DIV/0!</v>
      </c>
    </row>
    <row r="46" spans="1:24" s="178" customFormat="1" x14ac:dyDescent="0.15">
      <c r="A46" s="179" t="s">
        <v>316</v>
      </c>
      <c r="B46" s="196">
        <v>83</v>
      </c>
      <c r="C46" s="194"/>
      <c r="D46" s="195" t="str">
        <f t="shared" ca="1" si="7"/>
        <v>Thread 9</v>
      </c>
      <c r="E46" s="195" t="e">
        <f t="shared" ca="1" si="7"/>
        <v>#DIV/0!</v>
      </c>
      <c r="F46" s="195" t="e">
        <f t="shared" ca="1" si="7"/>
        <v>#DIV/0!</v>
      </c>
      <c r="G46" s="195" t="e">
        <f t="shared" ca="1" si="7"/>
        <v>#DIV/0!</v>
      </c>
      <c r="H46" s="195" t="e">
        <f t="shared" ca="1" si="7"/>
        <v>#DIV/0!</v>
      </c>
      <c r="I46" s="195" t="e">
        <f t="shared" ca="1" si="7"/>
        <v>#DIV/0!</v>
      </c>
      <c r="J46" s="195" t="e">
        <f t="shared" ca="1" si="7"/>
        <v>#DIV/0!</v>
      </c>
      <c r="K46" s="195" t="e">
        <f t="shared" ca="1" si="7"/>
        <v>#DIV/0!</v>
      </c>
      <c r="L46" s="195" t="e">
        <f t="shared" ca="1" si="7"/>
        <v>#DIV/0!</v>
      </c>
      <c r="M46" s="195" t="e">
        <f t="shared" ca="1" si="7"/>
        <v>#DIV/0!</v>
      </c>
      <c r="N46" s="195" t="e">
        <f t="shared" ca="1" si="8"/>
        <v>#DIV/0!</v>
      </c>
      <c r="O46" s="195" t="e">
        <f t="shared" ca="1" si="8"/>
        <v>#DIV/0!</v>
      </c>
      <c r="P46" s="195" t="e">
        <f t="shared" ca="1" si="8"/>
        <v>#DIV/0!</v>
      </c>
      <c r="Q46" s="195" t="e">
        <f t="shared" ca="1" si="8"/>
        <v>#DIV/0!</v>
      </c>
      <c r="R46" s="195" t="e">
        <f t="shared" ca="1" si="8"/>
        <v>#DIV/0!</v>
      </c>
      <c r="S46" s="195" t="e">
        <f t="shared" ca="1" si="8"/>
        <v>#DIV/0!</v>
      </c>
      <c r="T46" s="195">
        <f t="shared" ca="1" si="8"/>
        <v>0</v>
      </c>
      <c r="U46" s="195" t="e">
        <f t="shared" ca="1" si="8"/>
        <v>#DIV/0!</v>
      </c>
      <c r="V46" s="195" t="e">
        <f t="shared" ca="1" si="8"/>
        <v>#DIV/0!</v>
      </c>
      <c r="W46" s="176"/>
      <c r="X46" s="176" t="e">
        <f t="shared" ca="1" si="9"/>
        <v>#DIV/0!</v>
      </c>
    </row>
    <row r="47" spans="1:24" x14ac:dyDescent="0.15">
      <c r="A47" s="179" t="s">
        <v>316</v>
      </c>
      <c r="B47" s="196">
        <v>84</v>
      </c>
      <c r="C47" s="194"/>
      <c r="D47" s="195" t="str">
        <f t="shared" ref="D47:M57" ca="1" si="10">INDIRECT($A47&amp;"!"&amp;D$35&amp;$B47)</f>
        <v>Thread 10</v>
      </c>
      <c r="E47" s="195" t="e">
        <f t="shared" ca="1" si="10"/>
        <v>#DIV/0!</v>
      </c>
      <c r="F47" s="195" t="e">
        <f t="shared" ca="1" si="10"/>
        <v>#DIV/0!</v>
      </c>
      <c r="G47" s="195" t="e">
        <f t="shared" ca="1" si="10"/>
        <v>#DIV/0!</v>
      </c>
      <c r="H47" s="195" t="e">
        <f t="shared" ca="1" si="10"/>
        <v>#DIV/0!</v>
      </c>
      <c r="I47" s="195" t="e">
        <f t="shared" ca="1" si="10"/>
        <v>#DIV/0!</v>
      </c>
      <c r="J47" s="195" t="e">
        <f t="shared" ca="1" si="10"/>
        <v>#DIV/0!</v>
      </c>
      <c r="K47" s="195" t="e">
        <f t="shared" ca="1" si="10"/>
        <v>#DIV/0!</v>
      </c>
      <c r="L47" s="195" t="e">
        <f t="shared" ca="1" si="10"/>
        <v>#DIV/0!</v>
      </c>
      <c r="M47" s="195" t="e">
        <f t="shared" ca="1" si="10"/>
        <v>#DIV/0!</v>
      </c>
      <c r="N47" s="195" t="e">
        <f t="shared" ref="N47:V57" ca="1" si="11">INDIRECT($A47&amp;"!"&amp;N$35&amp;$B47)</f>
        <v>#DIV/0!</v>
      </c>
      <c r="O47" s="195" t="e">
        <f t="shared" ca="1" si="11"/>
        <v>#DIV/0!</v>
      </c>
      <c r="P47" s="195" t="e">
        <f t="shared" ca="1" si="11"/>
        <v>#DIV/0!</v>
      </c>
      <c r="Q47" s="195" t="e">
        <f t="shared" ca="1" si="11"/>
        <v>#DIV/0!</v>
      </c>
      <c r="R47" s="195" t="e">
        <f t="shared" ca="1" si="11"/>
        <v>#DIV/0!</v>
      </c>
      <c r="S47" s="195" t="e">
        <f t="shared" ca="1" si="11"/>
        <v>#DIV/0!</v>
      </c>
      <c r="T47" s="195">
        <f t="shared" ca="1" si="11"/>
        <v>0</v>
      </c>
      <c r="U47" s="195" t="e">
        <f t="shared" ca="1" si="11"/>
        <v>#DIV/0!</v>
      </c>
      <c r="V47" s="195" t="e">
        <f t="shared" ca="1" si="11"/>
        <v>#DIV/0!</v>
      </c>
      <c r="W47" s="176"/>
      <c r="X47" s="176" t="e">
        <f t="shared" ca="1" si="9"/>
        <v>#DIV/0!</v>
      </c>
    </row>
    <row r="48" spans="1:24" x14ac:dyDescent="0.15">
      <c r="A48" s="179" t="s">
        <v>316</v>
      </c>
      <c r="B48" s="196">
        <v>85</v>
      </c>
      <c r="C48" s="194"/>
      <c r="D48" s="195" t="str">
        <f t="shared" ca="1" si="10"/>
        <v>Thread 11</v>
      </c>
      <c r="E48" s="195" t="e">
        <f t="shared" ca="1" si="10"/>
        <v>#DIV/0!</v>
      </c>
      <c r="F48" s="195" t="e">
        <f t="shared" ca="1" si="10"/>
        <v>#DIV/0!</v>
      </c>
      <c r="G48" s="195" t="e">
        <f t="shared" ca="1" si="10"/>
        <v>#DIV/0!</v>
      </c>
      <c r="H48" s="195" t="e">
        <f t="shared" ca="1" si="10"/>
        <v>#DIV/0!</v>
      </c>
      <c r="I48" s="195" t="e">
        <f t="shared" ca="1" si="10"/>
        <v>#DIV/0!</v>
      </c>
      <c r="J48" s="195" t="e">
        <f t="shared" ca="1" si="10"/>
        <v>#DIV/0!</v>
      </c>
      <c r="K48" s="195" t="e">
        <f t="shared" ca="1" si="10"/>
        <v>#DIV/0!</v>
      </c>
      <c r="L48" s="195" t="e">
        <f t="shared" ca="1" si="10"/>
        <v>#DIV/0!</v>
      </c>
      <c r="M48" s="195" t="e">
        <f t="shared" ca="1" si="10"/>
        <v>#DIV/0!</v>
      </c>
      <c r="N48" s="195" t="e">
        <f t="shared" ca="1" si="11"/>
        <v>#DIV/0!</v>
      </c>
      <c r="O48" s="195" t="e">
        <f t="shared" ca="1" si="11"/>
        <v>#DIV/0!</v>
      </c>
      <c r="P48" s="195" t="e">
        <f t="shared" ca="1" si="11"/>
        <v>#DIV/0!</v>
      </c>
      <c r="Q48" s="195" t="e">
        <f t="shared" ca="1" si="11"/>
        <v>#DIV/0!</v>
      </c>
      <c r="R48" s="195" t="e">
        <f t="shared" ca="1" si="11"/>
        <v>#DIV/0!</v>
      </c>
      <c r="S48" s="195" t="e">
        <f t="shared" ca="1" si="11"/>
        <v>#DIV/0!</v>
      </c>
      <c r="T48" s="195">
        <f t="shared" ca="1" si="11"/>
        <v>0</v>
      </c>
      <c r="U48" s="195" t="e">
        <f t="shared" ca="1" si="11"/>
        <v>#DIV/0!</v>
      </c>
      <c r="V48" s="195" t="e">
        <f t="shared" ca="1" si="11"/>
        <v>#DIV/0!</v>
      </c>
      <c r="W48" s="176"/>
      <c r="X48" s="176" t="e">
        <f t="shared" ca="1" si="9"/>
        <v>#DIV/0!</v>
      </c>
    </row>
    <row r="49" spans="1:25" s="178" customFormat="1" x14ac:dyDescent="0.15">
      <c r="A49" s="179" t="s">
        <v>316</v>
      </c>
      <c r="B49" s="196">
        <v>86</v>
      </c>
      <c r="C49" s="194"/>
      <c r="D49" s="195" t="str">
        <f t="shared" ca="1" si="10"/>
        <v>Thread 12</v>
      </c>
      <c r="E49" s="195" t="e">
        <f t="shared" ca="1" si="10"/>
        <v>#DIV/0!</v>
      </c>
      <c r="F49" s="195" t="e">
        <f t="shared" ca="1" si="10"/>
        <v>#DIV/0!</v>
      </c>
      <c r="G49" s="195" t="e">
        <f t="shared" ca="1" si="10"/>
        <v>#DIV/0!</v>
      </c>
      <c r="H49" s="195" t="e">
        <f t="shared" ca="1" si="10"/>
        <v>#DIV/0!</v>
      </c>
      <c r="I49" s="195" t="e">
        <f t="shared" ca="1" si="10"/>
        <v>#DIV/0!</v>
      </c>
      <c r="J49" s="195" t="e">
        <f t="shared" ca="1" si="10"/>
        <v>#DIV/0!</v>
      </c>
      <c r="K49" s="195" t="e">
        <f t="shared" ca="1" si="10"/>
        <v>#DIV/0!</v>
      </c>
      <c r="L49" s="195" t="e">
        <f t="shared" ca="1" si="10"/>
        <v>#DIV/0!</v>
      </c>
      <c r="M49" s="195" t="e">
        <f t="shared" ca="1" si="10"/>
        <v>#DIV/0!</v>
      </c>
      <c r="N49" s="195" t="e">
        <f t="shared" ca="1" si="11"/>
        <v>#DIV/0!</v>
      </c>
      <c r="O49" s="195" t="e">
        <f t="shared" ca="1" si="11"/>
        <v>#DIV/0!</v>
      </c>
      <c r="P49" s="195" t="e">
        <f t="shared" ca="1" si="11"/>
        <v>#DIV/0!</v>
      </c>
      <c r="Q49" s="195" t="e">
        <f t="shared" ca="1" si="11"/>
        <v>#DIV/0!</v>
      </c>
      <c r="R49" s="195" t="e">
        <f t="shared" ca="1" si="11"/>
        <v>#DIV/0!</v>
      </c>
      <c r="S49" s="195" t="e">
        <f t="shared" ca="1" si="11"/>
        <v>#DIV/0!</v>
      </c>
      <c r="T49" s="195">
        <f t="shared" ca="1" si="11"/>
        <v>0</v>
      </c>
      <c r="U49" s="195" t="e">
        <f t="shared" ca="1" si="11"/>
        <v>#DIV/0!</v>
      </c>
      <c r="V49" s="195" t="e">
        <f t="shared" ca="1" si="11"/>
        <v>#DIV/0!</v>
      </c>
      <c r="W49" s="176"/>
      <c r="X49" s="176" t="e">
        <f t="shared" ca="1" si="9"/>
        <v>#DIV/0!</v>
      </c>
    </row>
    <row r="50" spans="1:25" s="178" customFormat="1" x14ac:dyDescent="0.15">
      <c r="A50" s="179" t="s">
        <v>316</v>
      </c>
      <c r="B50" s="196">
        <v>87</v>
      </c>
      <c r="C50" s="194"/>
      <c r="D50" s="195" t="str">
        <f t="shared" ca="1" si="10"/>
        <v>Thread 13</v>
      </c>
      <c r="E50" s="195" t="e">
        <f t="shared" ca="1" si="10"/>
        <v>#DIV/0!</v>
      </c>
      <c r="F50" s="195" t="e">
        <f t="shared" ca="1" si="10"/>
        <v>#DIV/0!</v>
      </c>
      <c r="G50" s="195" t="e">
        <f t="shared" ca="1" si="10"/>
        <v>#DIV/0!</v>
      </c>
      <c r="H50" s="195" t="e">
        <f t="shared" ca="1" si="10"/>
        <v>#DIV/0!</v>
      </c>
      <c r="I50" s="195" t="e">
        <f t="shared" ca="1" si="10"/>
        <v>#DIV/0!</v>
      </c>
      <c r="J50" s="195" t="e">
        <f t="shared" ca="1" si="10"/>
        <v>#DIV/0!</v>
      </c>
      <c r="K50" s="195" t="e">
        <f t="shared" ca="1" si="10"/>
        <v>#DIV/0!</v>
      </c>
      <c r="L50" s="195" t="e">
        <f t="shared" ca="1" si="10"/>
        <v>#DIV/0!</v>
      </c>
      <c r="M50" s="195" t="e">
        <f t="shared" ca="1" si="10"/>
        <v>#DIV/0!</v>
      </c>
      <c r="N50" s="195" t="e">
        <f t="shared" ca="1" si="11"/>
        <v>#DIV/0!</v>
      </c>
      <c r="O50" s="195" t="e">
        <f t="shared" ca="1" si="11"/>
        <v>#DIV/0!</v>
      </c>
      <c r="P50" s="195" t="e">
        <f t="shared" ca="1" si="11"/>
        <v>#DIV/0!</v>
      </c>
      <c r="Q50" s="195" t="e">
        <f t="shared" ca="1" si="11"/>
        <v>#DIV/0!</v>
      </c>
      <c r="R50" s="195" t="e">
        <f t="shared" ca="1" si="11"/>
        <v>#DIV/0!</v>
      </c>
      <c r="S50" s="195" t="e">
        <f t="shared" ca="1" si="11"/>
        <v>#DIV/0!</v>
      </c>
      <c r="T50" s="195">
        <f t="shared" ca="1" si="11"/>
        <v>0</v>
      </c>
      <c r="U50" s="195" t="e">
        <f t="shared" ca="1" si="11"/>
        <v>#DIV/0!</v>
      </c>
      <c r="V50" s="195" t="e">
        <f t="shared" ca="1" si="11"/>
        <v>#DIV/0!</v>
      </c>
      <c r="W50" s="176"/>
      <c r="X50" s="176" t="e">
        <f t="shared" ca="1" si="9"/>
        <v>#DIV/0!</v>
      </c>
    </row>
    <row r="51" spans="1:25" s="178" customFormat="1" x14ac:dyDescent="0.15">
      <c r="A51" s="179" t="s">
        <v>316</v>
      </c>
      <c r="B51" s="196">
        <v>88</v>
      </c>
      <c r="C51" s="194"/>
      <c r="D51" s="195" t="str">
        <f t="shared" ca="1" si="10"/>
        <v>Thread 14</v>
      </c>
      <c r="E51" s="195" t="e">
        <f t="shared" ca="1" si="10"/>
        <v>#DIV/0!</v>
      </c>
      <c r="F51" s="195" t="e">
        <f t="shared" ca="1" si="10"/>
        <v>#DIV/0!</v>
      </c>
      <c r="G51" s="195" t="e">
        <f t="shared" ca="1" si="10"/>
        <v>#DIV/0!</v>
      </c>
      <c r="H51" s="195" t="e">
        <f t="shared" ca="1" si="10"/>
        <v>#DIV/0!</v>
      </c>
      <c r="I51" s="195" t="e">
        <f t="shared" ca="1" si="10"/>
        <v>#DIV/0!</v>
      </c>
      <c r="J51" s="195" t="e">
        <f t="shared" ca="1" si="10"/>
        <v>#DIV/0!</v>
      </c>
      <c r="K51" s="195" t="e">
        <f t="shared" ca="1" si="10"/>
        <v>#DIV/0!</v>
      </c>
      <c r="L51" s="195" t="e">
        <f t="shared" ca="1" si="10"/>
        <v>#DIV/0!</v>
      </c>
      <c r="M51" s="195" t="e">
        <f t="shared" ca="1" si="10"/>
        <v>#DIV/0!</v>
      </c>
      <c r="N51" s="195" t="e">
        <f t="shared" ca="1" si="11"/>
        <v>#DIV/0!</v>
      </c>
      <c r="O51" s="195" t="e">
        <f t="shared" ca="1" si="11"/>
        <v>#DIV/0!</v>
      </c>
      <c r="P51" s="195" t="e">
        <f t="shared" ca="1" si="11"/>
        <v>#DIV/0!</v>
      </c>
      <c r="Q51" s="195" t="e">
        <f t="shared" ca="1" si="11"/>
        <v>#DIV/0!</v>
      </c>
      <c r="R51" s="195" t="e">
        <f t="shared" ca="1" si="11"/>
        <v>#DIV/0!</v>
      </c>
      <c r="S51" s="195" t="e">
        <f t="shared" ca="1" si="11"/>
        <v>#DIV/0!</v>
      </c>
      <c r="T51" s="195">
        <f t="shared" ca="1" si="11"/>
        <v>0</v>
      </c>
      <c r="U51" s="195" t="e">
        <f t="shared" ca="1" si="11"/>
        <v>#DIV/0!</v>
      </c>
      <c r="V51" s="195" t="e">
        <f t="shared" ca="1" si="11"/>
        <v>#DIV/0!</v>
      </c>
      <c r="W51" s="176"/>
      <c r="X51" s="176" t="e">
        <f t="shared" ca="1" si="9"/>
        <v>#DIV/0!</v>
      </c>
    </row>
    <row r="52" spans="1:25" s="178" customFormat="1" x14ac:dyDescent="0.15">
      <c r="A52" s="179" t="s">
        <v>316</v>
      </c>
      <c r="B52" s="196">
        <v>89</v>
      </c>
      <c r="C52" s="194"/>
      <c r="D52" s="195" t="str">
        <f t="shared" ca="1" si="10"/>
        <v>Thread 15</v>
      </c>
      <c r="E52" s="195" t="e">
        <f t="shared" ca="1" si="10"/>
        <v>#DIV/0!</v>
      </c>
      <c r="F52" s="195" t="e">
        <f t="shared" ca="1" si="10"/>
        <v>#DIV/0!</v>
      </c>
      <c r="G52" s="195" t="e">
        <f t="shared" ca="1" si="10"/>
        <v>#DIV/0!</v>
      </c>
      <c r="H52" s="195" t="e">
        <f t="shared" ca="1" si="10"/>
        <v>#DIV/0!</v>
      </c>
      <c r="I52" s="195" t="e">
        <f t="shared" ca="1" si="10"/>
        <v>#DIV/0!</v>
      </c>
      <c r="J52" s="195" t="e">
        <f t="shared" ca="1" si="10"/>
        <v>#DIV/0!</v>
      </c>
      <c r="K52" s="195" t="e">
        <f t="shared" ca="1" si="10"/>
        <v>#DIV/0!</v>
      </c>
      <c r="L52" s="195" t="e">
        <f t="shared" ca="1" si="10"/>
        <v>#DIV/0!</v>
      </c>
      <c r="M52" s="195" t="e">
        <f t="shared" ca="1" si="10"/>
        <v>#DIV/0!</v>
      </c>
      <c r="N52" s="195" t="e">
        <f t="shared" ca="1" si="11"/>
        <v>#DIV/0!</v>
      </c>
      <c r="O52" s="195" t="e">
        <f t="shared" ca="1" si="11"/>
        <v>#DIV/0!</v>
      </c>
      <c r="P52" s="195" t="e">
        <f t="shared" ca="1" si="11"/>
        <v>#DIV/0!</v>
      </c>
      <c r="Q52" s="195" t="e">
        <f t="shared" ca="1" si="11"/>
        <v>#DIV/0!</v>
      </c>
      <c r="R52" s="195" t="e">
        <f t="shared" ca="1" si="11"/>
        <v>#DIV/0!</v>
      </c>
      <c r="S52" s="195" t="e">
        <f t="shared" ca="1" si="11"/>
        <v>#DIV/0!</v>
      </c>
      <c r="T52" s="195">
        <f t="shared" ca="1" si="11"/>
        <v>0</v>
      </c>
      <c r="U52" s="195" t="e">
        <f t="shared" ca="1" si="11"/>
        <v>#DIV/0!</v>
      </c>
      <c r="V52" s="195" t="e">
        <f t="shared" ca="1" si="11"/>
        <v>#DIV/0!</v>
      </c>
      <c r="W52" s="176"/>
      <c r="X52" s="176" t="e">
        <f t="shared" ca="1" si="9"/>
        <v>#DIV/0!</v>
      </c>
    </row>
    <row r="53" spans="1:25" s="178" customFormat="1" hidden="1" x14ac:dyDescent="0.15">
      <c r="A53" s="179" t="s">
        <v>251</v>
      </c>
      <c r="B53" s="196">
        <v>90</v>
      </c>
      <c r="C53" s="194"/>
      <c r="D53" s="195" t="e">
        <f t="shared" ca="1" si="10"/>
        <v>#REF!</v>
      </c>
      <c r="E53" s="195" t="e">
        <f t="shared" ca="1" si="10"/>
        <v>#REF!</v>
      </c>
      <c r="F53" s="195" t="e">
        <f t="shared" ca="1" si="10"/>
        <v>#REF!</v>
      </c>
      <c r="G53" s="195" t="e">
        <f t="shared" ca="1" si="10"/>
        <v>#REF!</v>
      </c>
      <c r="H53" s="195" t="e">
        <f t="shared" ca="1" si="10"/>
        <v>#REF!</v>
      </c>
      <c r="I53" s="195" t="e">
        <f t="shared" ca="1" si="10"/>
        <v>#REF!</v>
      </c>
      <c r="J53" s="195" t="e">
        <f t="shared" ca="1" si="10"/>
        <v>#REF!</v>
      </c>
      <c r="K53" s="195" t="e">
        <f t="shared" ca="1" si="10"/>
        <v>#REF!</v>
      </c>
      <c r="L53" s="195" t="e">
        <f t="shared" ca="1" si="10"/>
        <v>#REF!</v>
      </c>
      <c r="M53" s="195" t="e">
        <f t="shared" ca="1" si="10"/>
        <v>#REF!</v>
      </c>
      <c r="N53" s="195" t="e">
        <f t="shared" ca="1" si="11"/>
        <v>#REF!</v>
      </c>
      <c r="O53" s="195" t="e">
        <f t="shared" ca="1" si="11"/>
        <v>#REF!</v>
      </c>
      <c r="P53" s="195" t="e">
        <f t="shared" ca="1" si="11"/>
        <v>#REF!</v>
      </c>
      <c r="Q53" s="195" t="e">
        <f t="shared" ca="1" si="11"/>
        <v>#REF!</v>
      </c>
      <c r="R53" s="195" t="e">
        <f t="shared" ca="1" si="11"/>
        <v>#REF!</v>
      </c>
      <c r="S53" s="195" t="e">
        <f t="shared" ca="1" si="11"/>
        <v>#REF!</v>
      </c>
      <c r="T53" s="195" t="e">
        <f t="shared" ca="1" si="11"/>
        <v>#REF!</v>
      </c>
      <c r="U53" s="195" t="e">
        <f t="shared" ca="1" si="11"/>
        <v>#REF!</v>
      </c>
      <c r="V53" s="195" t="e">
        <f t="shared" ca="1" si="11"/>
        <v>#REF!</v>
      </c>
      <c r="W53" s="176"/>
      <c r="X53" s="176" t="e">
        <f t="shared" ca="1" si="9"/>
        <v>#REF!</v>
      </c>
    </row>
    <row r="54" spans="1:25" s="178" customFormat="1" hidden="1" x14ac:dyDescent="0.15">
      <c r="A54" s="179" t="s">
        <v>251</v>
      </c>
      <c r="B54" s="196">
        <v>91</v>
      </c>
      <c r="C54" s="194"/>
      <c r="D54" s="195" t="e">
        <f t="shared" ca="1" si="10"/>
        <v>#REF!</v>
      </c>
      <c r="E54" s="195" t="e">
        <f t="shared" ca="1" si="10"/>
        <v>#REF!</v>
      </c>
      <c r="F54" s="195" t="e">
        <f t="shared" ca="1" si="10"/>
        <v>#REF!</v>
      </c>
      <c r="G54" s="195" t="e">
        <f t="shared" ca="1" si="10"/>
        <v>#REF!</v>
      </c>
      <c r="H54" s="195" t="e">
        <f t="shared" ca="1" si="10"/>
        <v>#REF!</v>
      </c>
      <c r="I54" s="195" t="e">
        <f t="shared" ca="1" si="10"/>
        <v>#REF!</v>
      </c>
      <c r="J54" s="195" t="e">
        <f t="shared" ca="1" si="10"/>
        <v>#REF!</v>
      </c>
      <c r="K54" s="195" t="e">
        <f t="shared" ca="1" si="10"/>
        <v>#REF!</v>
      </c>
      <c r="L54" s="195" t="e">
        <f t="shared" ca="1" si="10"/>
        <v>#REF!</v>
      </c>
      <c r="M54" s="195" t="e">
        <f t="shared" ca="1" si="10"/>
        <v>#REF!</v>
      </c>
      <c r="N54" s="195" t="e">
        <f t="shared" ca="1" si="11"/>
        <v>#REF!</v>
      </c>
      <c r="O54" s="195" t="e">
        <f t="shared" ca="1" si="11"/>
        <v>#REF!</v>
      </c>
      <c r="P54" s="195" t="e">
        <f t="shared" ca="1" si="11"/>
        <v>#REF!</v>
      </c>
      <c r="Q54" s="195" t="e">
        <f t="shared" ca="1" si="11"/>
        <v>#REF!</v>
      </c>
      <c r="R54" s="195" t="e">
        <f t="shared" ca="1" si="11"/>
        <v>#REF!</v>
      </c>
      <c r="S54" s="195" t="e">
        <f t="shared" ca="1" si="11"/>
        <v>#REF!</v>
      </c>
      <c r="T54" s="195" t="e">
        <f t="shared" ca="1" si="11"/>
        <v>#REF!</v>
      </c>
      <c r="U54" s="195" t="e">
        <f t="shared" ca="1" si="11"/>
        <v>#REF!</v>
      </c>
      <c r="V54" s="195" t="e">
        <f t="shared" ca="1" si="11"/>
        <v>#REF!</v>
      </c>
      <c r="W54" s="176"/>
      <c r="X54" s="176" t="e">
        <f t="shared" ca="1" si="9"/>
        <v>#REF!</v>
      </c>
    </row>
    <row r="55" spans="1:25" s="178" customFormat="1" hidden="1" x14ac:dyDescent="0.15">
      <c r="A55" s="179" t="s">
        <v>251</v>
      </c>
      <c r="B55" s="196">
        <v>92</v>
      </c>
      <c r="C55" s="194"/>
      <c r="D55" s="195" t="e">
        <f t="shared" ca="1" si="10"/>
        <v>#REF!</v>
      </c>
      <c r="E55" s="195" t="e">
        <f t="shared" ca="1" si="10"/>
        <v>#REF!</v>
      </c>
      <c r="F55" s="195" t="e">
        <f t="shared" ca="1" si="10"/>
        <v>#REF!</v>
      </c>
      <c r="G55" s="195" t="e">
        <f t="shared" ca="1" si="10"/>
        <v>#REF!</v>
      </c>
      <c r="H55" s="195" t="e">
        <f t="shared" ca="1" si="10"/>
        <v>#REF!</v>
      </c>
      <c r="I55" s="195" t="e">
        <f t="shared" ca="1" si="10"/>
        <v>#REF!</v>
      </c>
      <c r="J55" s="195" t="e">
        <f t="shared" ca="1" si="10"/>
        <v>#REF!</v>
      </c>
      <c r="K55" s="195" t="e">
        <f t="shared" ca="1" si="10"/>
        <v>#REF!</v>
      </c>
      <c r="L55" s="195" t="e">
        <f t="shared" ca="1" si="10"/>
        <v>#REF!</v>
      </c>
      <c r="M55" s="195" t="e">
        <f t="shared" ca="1" si="10"/>
        <v>#REF!</v>
      </c>
      <c r="N55" s="195" t="e">
        <f t="shared" ca="1" si="11"/>
        <v>#REF!</v>
      </c>
      <c r="O55" s="195" t="e">
        <f t="shared" ca="1" si="11"/>
        <v>#REF!</v>
      </c>
      <c r="P55" s="195" t="e">
        <f t="shared" ca="1" si="11"/>
        <v>#REF!</v>
      </c>
      <c r="Q55" s="195" t="e">
        <f t="shared" ca="1" si="11"/>
        <v>#REF!</v>
      </c>
      <c r="R55" s="195" t="e">
        <f t="shared" ca="1" si="11"/>
        <v>#REF!</v>
      </c>
      <c r="S55" s="195" t="e">
        <f t="shared" ca="1" si="11"/>
        <v>#REF!</v>
      </c>
      <c r="T55" s="195" t="e">
        <f t="shared" ca="1" si="11"/>
        <v>#REF!</v>
      </c>
      <c r="U55" s="195" t="e">
        <f t="shared" ca="1" si="11"/>
        <v>#REF!</v>
      </c>
      <c r="V55" s="195" t="e">
        <f t="shared" ca="1" si="11"/>
        <v>#REF!</v>
      </c>
      <c r="W55" s="176"/>
      <c r="X55" s="176" t="e">
        <f t="shared" ca="1" si="9"/>
        <v>#REF!</v>
      </c>
    </row>
    <row r="56" spans="1:25" s="178" customFormat="1" hidden="1" x14ac:dyDescent="0.15">
      <c r="A56" s="179" t="s">
        <v>251</v>
      </c>
      <c r="B56" s="196">
        <v>93</v>
      </c>
      <c r="C56" s="194"/>
      <c r="D56" s="195" t="e">
        <f t="shared" ca="1" si="10"/>
        <v>#REF!</v>
      </c>
      <c r="E56" s="195" t="e">
        <f t="shared" ca="1" si="10"/>
        <v>#REF!</v>
      </c>
      <c r="F56" s="195" t="e">
        <f t="shared" ca="1" si="10"/>
        <v>#REF!</v>
      </c>
      <c r="G56" s="195" t="e">
        <f t="shared" ca="1" si="10"/>
        <v>#REF!</v>
      </c>
      <c r="H56" s="195" t="e">
        <f t="shared" ca="1" si="10"/>
        <v>#REF!</v>
      </c>
      <c r="I56" s="195" t="e">
        <f t="shared" ca="1" si="10"/>
        <v>#REF!</v>
      </c>
      <c r="J56" s="195" t="e">
        <f t="shared" ca="1" si="10"/>
        <v>#REF!</v>
      </c>
      <c r="K56" s="195" t="e">
        <f t="shared" ca="1" si="10"/>
        <v>#REF!</v>
      </c>
      <c r="L56" s="195" t="e">
        <f t="shared" ca="1" si="10"/>
        <v>#REF!</v>
      </c>
      <c r="M56" s="195" t="e">
        <f t="shared" ca="1" si="10"/>
        <v>#REF!</v>
      </c>
      <c r="N56" s="195" t="e">
        <f t="shared" ca="1" si="11"/>
        <v>#REF!</v>
      </c>
      <c r="O56" s="195" t="e">
        <f t="shared" ca="1" si="11"/>
        <v>#REF!</v>
      </c>
      <c r="P56" s="195" t="e">
        <f t="shared" ca="1" si="11"/>
        <v>#REF!</v>
      </c>
      <c r="Q56" s="195" t="e">
        <f t="shared" ca="1" si="11"/>
        <v>#REF!</v>
      </c>
      <c r="R56" s="195" t="e">
        <f t="shared" ca="1" si="11"/>
        <v>#REF!</v>
      </c>
      <c r="S56" s="195" t="e">
        <f t="shared" ca="1" si="11"/>
        <v>#REF!</v>
      </c>
      <c r="T56" s="195" t="e">
        <f t="shared" ca="1" si="11"/>
        <v>#REF!</v>
      </c>
      <c r="U56" s="195" t="e">
        <f t="shared" ca="1" si="11"/>
        <v>#REF!</v>
      </c>
      <c r="V56" s="195" t="e">
        <f t="shared" ca="1" si="11"/>
        <v>#REF!</v>
      </c>
      <c r="W56" s="176"/>
      <c r="X56" s="176" t="e">
        <f t="shared" ca="1" si="9"/>
        <v>#REF!</v>
      </c>
    </row>
    <row r="57" spans="1:25" s="178" customFormat="1" ht="12" hidden="1" thickBot="1" x14ac:dyDescent="0.2">
      <c r="A57" s="182" t="s">
        <v>251</v>
      </c>
      <c r="B57" s="197">
        <v>94</v>
      </c>
      <c r="C57" s="194"/>
      <c r="D57" s="195" t="e">
        <f t="shared" ca="1" si="10"/>
        <v>#REF!</v>
      </c>
      <c r="E57" s="195" t="e">
        <f t="shared" ca="1" si="10"/>
        <v>#REF!</v>
      </c>
      <c r="F57" s="195" t="e">
        <f t="shared" ca="1" si="10"/>
        <v>#REF!</v>
      </c>
      <c r="G57" s="195" t="e">
        <f t="shared" ca="1" si="10"/>
        <v>#REF!</v>
      </c>
      <c r="H57" s="195" t="e">
        <f t="shared" ca="1" si="10"/>
        <v>#REF!</v>
      </c>
      <c r="I57" s="195" t="e">
        <f t="shared" ca="1" si="10"/>
        <v>#REF!</v>
      </c>
      <c r="J57" s="195" t="e">
        <f t="shared" ca="1" si="10"/>
        <v>#REF!</v>
      </c>
      <c r="K57" s="195" t="e">
        <f t="shared" ca="1" si="10"/>
        <v>#REF!</v>
      </c>
      <c r="L57" s="195" t="e">
        <f t="shared" ca="1" si="10"/>
        <v>#REF!</v>
      </c>
      <c r="M57" s="195" t="e">
        <f t="shared" ca="1" si="10"/>
        <v>#REF!</v>
      </c>
      <c r="N57" s="195" t="e">
        <f t="shared" ca="1" si="11"/>
        <v>#REF!</v>
      </c>
      <c r="O57" s="195" t="e">
        <f t="shared" ca="1" si="11"/>
        <v>#REF!</v>
      </c>
      <c r="P57" s="195" t="e">
        <f t="shared" ca="1" si="11"/>
        <v>#REF!</v>
      </c>
      <c r="Q57" s="195" t="e">
        <f t="shared" ca="1" si="11"/>
        <v>#REF!</v>
      </c>
      <c r="R57" s="195" t="e">
        <f t="shared" ca="1" si="11"/>
        <v>#REF!</v>
      </c>
      <c r="S57" s="195" t="e">
        <f t="shared" ca="1" si="11"/>
        <v>#REF!</v>
      </c>
      <c r="T57" s="195" t="e">
        <f t="shared" ca="1" si="11"/>
        <v>#REF!</v>
      </c>
      <c r="U57" s="195" t="e">
        <f t="shared" ca="1" si="11"/>
        <v>#REF!</v>
      </c>
      <c r="V57" s="195" t="e">
        <f t="shared" ca="1" si="11"/>
        <v>#REF!</v>
      </c>
      <c r="W57" s="176"/>
      <c r="X57" s="176" t="e">
        <f t="shared" ca="1" si="9"/>
        <v>#REF!</v>
      </c>
    </row>
    <row r="58" spans="1:25" s="178" customFormat="1" x14ac:dyDescent="0.15">
      <c r="A58" s="194"/>
      <c r="B58" s="194"/>
      <c r="C58" s="194"/>
      <c r="D58" s="198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</row>
    <row r="60" spans="1:25" ht="12" thickBot="1" x14ac:dyDescent="0.2"/>
    <row r="61" spans="1:25" ht="15" thickBot="1" x14ac:dyDescent="0.2">
      <c r="A61" s="718" t="s">
        <v>378</v>
      </c>
      <c r="B61" s="719"/>
      <c r="C61" s="720"/>
      <c r="D61" s="161" t="s">
        <v>379</v>
      </c>
      <c r="E61" s="161" t="s">
        <v>380</v>
      </c>
      <c r="F61" s="161" t="s">
        <v>381</v>
      </c>
      <c r="G61" s="161" t="s">
        <v>382</v>
      </c>
      <c r="H61" s="161" t="s">
        <v>383</v>
      </c>
      <c r="I61" s="161" t="s">
        <v>384</v>
      </c>
      <c r="J61" s="161" t="s">
        <v>385</v>
      </c>
      <c r="K61" s="161" t="s">
        <v>386</v>
      </c>
      <c r="L61" s="161" t="s">
        <v>387</v>
      </c>
      <c r="M61" s="161" t="s">
        <v>388</v>
      </c>
      <c r="N61" s="161" t="s">
        <v>389</v>
      </c>
      <c r="O61" s="161" t="s">
        <v>390</v>
      </c>
      <c r="P61" s="161" t="s">
        <v>391</v>
      </c>
      <c r="Q61" s="161" t="s">
        <v>392</v>
      </c>
      <c r="R61" s="161" t="s">
        <v>393</v>
      </c>
      <c r="S61" s="161" t="s">
        <v>394</v>
      </c>
      <c r="T61" s="161" t="s">
        <v>395</v>
      </c>
      <c r="U61" s="161" t="s">
        <v>396</v>
      </c>
      <c r="V61" s="161" t="s">
        <v>397</v>
      </c>
      <c r="X61" s="161" t="s">
        <v>398</v>
      </c>
      <c r="Y61" s="161" t="s">
        <v>399</v>
      </c>
    </row>
    <row r="62" spans="1:25" ht="12" thickBot="1" x14ac:dyDescent="0.2">
      <c r="A62" s="164" t="s">
        <v>112</v>
      </c>
      <c r="B62" s="165" t="s">
        <v>111</v>
      </c>
      <c r="C62" s="166" t="s">
        <v>110</v>
      </c>
      <c r="D62" s="167"/>
      <c r="E62" s="168" t="s">
        <v>22</v>
      </c>
      <c r="F62" s="168" t="s">
        <v>55</v>
      </c>
      <c r="G62" s="168" t="s">
        <v>23</v>
      </c>
      <c r="H62" s="169" t="s">
        <v>24</v>
      </c>
      <c r="I62" s="170" t="s">
        <v>25</v>
      </c>
      <c r="J62" s="170" t="s">
        <v>211</v>
      </c>
      <c r="K62" s="171" t="s">
        <v>56</v>
      </c>
      <c r="L62" s="171" t="s">
        <v>57</v>
      </c>
      <c r="M62" s="169" t="s">
        <v>26</v>
      </c>
      <c r="N62" s="169" t="s">
        <v>27</v>
      </c>
      <c r="O62" s="169" t="s">
        <v>148</v>
      </c>
      <c r="P62" s="169" t="s">
        <v>21</v>
      </c>
      <c r="Q62" s="169" t="s">
        <v>28</v>
      </c>
      <c r="R62" s="169" t="s">
        <v>29</v>
      </c>
      <c r="S62" s="169" t="s">
        <v>30</v>
      </c>
      <c r="T62" s="169" t="s">
        <v>58</v>
      </c>
      <c r="U62" s="169" t="s">
        <v>400</v>
      </c>
      <c r="V62" s="169" t="s">
        <v>32</v>
      </c>
      <c r="W62" s="169"/>
      <c r="X62" s="169" t="s">
        <v>33</v>
      </c>
      <c r="Y62" s="169" t="s">
        <v>401</v>
      </c>
    </row>
    <row r="63" spans="1:25" x14ac:dyDescent="0.15">
      <c r="A63" s="172" t="s">
        <v>402</v>
      </c>
      <c r="B63" s="173">
        <v>139</v>
      </c>
      <c r="C63" s="174">
        <v>1</v>
      </c>
      <c r="D63" s="175" t="e">
        <f ca="1">INDIRECT($A63&amp;"!"&amp;D$14&amp;$B63)</f>
        <v>#N/A</v>
      </c>
      <c r="E63" s="176" t="e">
        <f ca="1">INDIRECT($A63&amp;"!"&amp;E$14&amp;$B63)</f>
        <v>#N/A</v>
      </c>
      <c r="F63" s="176" t="e">
        <f ca="1">INDIRECT($A63&amp;"!"&amp;F$14&amp;$B63)+INDIRECT($A63&amp;"!"&amp;F$13&amp;$B63)</f>
        <v>#N/A</v>
      </c>
      <c r="G63" s="176" t="e">
        <f t="shared" ref="G63:V63" ca="1" si="12">INDIRECT($A63&amp;"!"&amp;G$14&amp;$B63)</f>
        <v>#N/A</v>
      </c>
      <c r="H63" s="176" t="e">
        <f t="shared" ca="1" si="12"/>
        <v>#N/A</v>
      </c>
      <c r="I63" s="176" t="e">
        <f t="shared" ca="1" si="12"/>
        <v>#N/A</v>
      </c>
      <c r="J63" s="176" t="e">
        <f t="shared" ca="1" si="12"/>
        <v>#N/A</v>
      </c>
      <c r="K63" s="176" t="e">
        <f t="shared" ca="1" si="12"/>
        <v>#N/A</v>
      </c>
      <c r="L63" s="176" t="e">
        <f t="shared" ca="1" si="12"/>
        <v>#N/A</v>
      </c>
      <c r="M63" s="176" t="e">
        <f t="shared" ca="1" si="12"/>
        <v>#N/A</v>
      </c>
      <c r="N63" s="176" t="e">
        <f t="shared" ca="1" si="12"/>
        <v>#N/A</v>
      </c>
      <c r="O63" s="176" t="e">
        <f t="shared" ca="1" si="12"/>
        <v>#N/A</v>
      </c>
      <c r="P63" s="176" t="e">
        <f t="shared" ca="1" si="12"/>
        <v>#N/A</v>
      </c>
      <c r="Q63" s="176" t="e">
        <f t="shared" ca="1" si="12"/>
        <v>#N/A</v>
      </c>
      <c r="R63" s="176" t="e">
        <f t="shared" ca="1" si="12"/>
        <v>#N/A</v>
      </c>
      <c r="S63" s="176" t="e">
        <f t="shared" ca="1" si="12"/>
        <v>#N/A</v>
      </c>
      <c r="T63" s="176">
        <f t="shared" ca="1" si="12"/>
        <v>0</v>
      </c>
      <c r="U63" s="176" t="e">
        <f t="shared" ca="1" si="12"/>
        <v>#N/A</v>
      </c>
      <c r="V63" s="176" t="e">
        <f t="shared" ca="1" si="12"/>
        <v>#N/A</v>
      </c>
      <c r="W63" s="176"/>
      <c r="X63" s="176" t="e">
        <f ca="1">SUM(E63:W63)</f>
        <v>#N/A</v>
      </c>
      <c r="Y63" s="177" t="e">
        <f ca="1">INDIRECT($A63&amp;"!"&amp;Y$14&amp;$B63)*C63</f>
        <v>#N/A</v>
      </c>
    </row>
    <row r="64" spans="1:25" ht="12" thickBot="1" x14ac:dyDescent="0.2"/>
    <row r="65" spans="4:15" ht="31.5" x14ac:dyDescent="0.15">
      <c r="D65" s="639"/>
      <c r="E65" s="595" t="s">
        <v>293</v>
      </c>
      <c r="F65" s="476" t="s">
        <v>294</v>
      </c>
      <c r="G65" s="596" t="s">
        <v>403</v>
      </c>
      <c r="H65" s="589" t="s">
        <v>295</v>
      </c>
      <c r="I65" s="589" t="s">
        <v>321</v>
      </c>
      <c r="J65" s="589" t="s">
        <v>322</v>
      </c>
      <c r="K65" s="589" t="s">
        <v>323</v>
      </c>
      <c r="L65" s="589" t="s">
        <v>324</v>
      </c>
      <c r="M65" s="589" t="s">
        <v>325</v>
      </c>
      <c r="N65" s="597" t="s">
        <v>326</v>
      </c>
      <c r="O65" s="598" t="s">
        <v>404</v>
      </c>
    </row>
    <row r="66" spans="4:15" ht="14.25" thickBot="1" x14ac:dyDescent="0.2">
      <c r="D66" s="640"/>
      <c r="E66" s="471"/>
      <c r="F66" s="472"/>
      <c r="G66" s="473"/>
      <c r="H66" s="23"/>
      <c r="I66" s="554"/>
      <c r="J66" s="555"/>
      <c r="K66" s="556"/>
      <c r="L66" s="557"/>
      <c r="M66" s="558"/>
      <c r="N66" s="559"/>
    </row>
    <row r="67" spans="4:15" ht="14.25" thickBot="1" x14ac:dyDescent="0.2">
      <c r="D67" s="599" t="e">
        <f ca="1">D63</f>
        <v>#N/A</v>
      </c>
      <c r="E67" s="600" t="e">
        <f ca="1">V63/$X63</f>
        <v>#N/A</v>
      </c>
      <c r="F67" s="600" t="e">
        <f ca="1">U63/$X63</f>
        <v>#N/A</v>
      </c>
      <c r="G67" s="600" t="e">
        <f ca="1">S63/$X63</f>
        <v>#N/A</v>
      </c>
      <c r="H67" s="600" t="e">
        <f ca="1">R63/$X63</f>
        <v>#N/A</v>
      </c>
      <c r="I67" s="600" t="e">
        <f ca="1">O63/$X63</f>
        <v>#N/A</v>
      </c>
      <c r="J67" s="600" t="e">
        <f ca="1">N63/$X63</f>
        <v>#N/A</v>
      </c>
      <c r="K67" s="600" t="e">
        <f ca="1">(K63+L63)/$X63</f>
        <v>#N/A</v>
      </c>
      <c r="L67" s="600" t="e">
        <f ca="1">(F63+G63+J63)/$X63</f>
        <v>#N/A</v>
      </c>
      <c r="M67" s="600" t="e">
        <f ca="1">(E63+I63)/$X63</f>
        <v>#N/A</v>
      </c>
      <c r="N67" s="601" t="e">
        <f ca="1">(P63+M63+Q63)/$X63</f>
        <v>#N/A</v>
      </c>
      <c r="O67" s="602" t="e">
        <f ca="1">SUM(E67:N67)</f>
        <v>#N/A</v>
      </c>
    </row>
  </sheetData>
  <sheetProtection password="B05A" sheet="1" objects="1" scenarios="1"/>
  <mergeCells count="2">
    <mergeCell ref="A61:C61"/>
    <mergeCell ref="D65:D66"/>
  </mergeCells>
  <phoneticPr fontId="3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indexed="41"/>
  </sheetPr>
  <dimension ref="A1:EN164"/>
  <sheetViews>
    <sheetView workbookViewId="0"/>
  </sheetViews>
  <sheetFormatPr defaultRowHeight="11.25" x14ac:dyDescent="0.15"/>
  <cols>
    <col min="1" max="1" width="17.625" style="348" customWidth="1"/>
    <col min="2" max="2" width="21.125" style="348" bestFit="1" customWidth="1"/>
    <col min="3" max="3" width="26.125" style="376" bestFit="1" customWidth="1"/>
    <col min="4" max="4" width="16.25" style="376" bestFit="1" customWidth="1"/>
    <col min="5" max="5" width="14.625" style="376" bestFit="1" customWidth="1"/>
    <col min="6" max="6" width="24.25" style="376" bestFit="1" customWidth="1"/>
    <col min="7" max="7" width="29.25" style="376" bestFit="1" customWidth="1"/>
    <col min="8" max="8" width="14.125" style="376" bestFit="1" customWidth="1"/>
    <col min="9" max="9" width="19.5" style="376" bestFit="1" customWidth="1"/>
    <col min="10" max="10" width="13.625" style="376" bestFit="1" customWidth="1"/>
    <col min="11" max="11" width="12.375" style="348" bestFit="1" customWidth="1"/>
    <col min="12" max="12" width="13" style="348" bestFit="1" customWidth="1"/>
    <col min="13" max="13" width="16.5" style="348" bestFit="1" customWidth="1"/>
    <col min="14" max="14" width="18.625" style="348" bestFit="1" customWidth="1"/>
    <col min="15" max="15" width="19.25" style="348" bestFit="1" customWidth="1"/>
    <col min="16" max="17" width="24.25" style="348" bestFit="1" customWidth="1"/>
    <col min="18" max="18" width="17.25" style="348" bestFit="1" customWidth="1"/>
    <col min="19" max="19" width="14.75" style="348" bestFit="1" customWidth="1"/>
    <col min="20" max="20" width="12.125" style="348" bestFit="1" customWidth="1"/>
    <col min="21" max="22" width="7.125" style="348" bestFit="1" customWidth="1"/>
    <col min="23" max="23" width="9.625" style="348" bestFit="1" customWidth="1"/>
    <col min="24" max="25" width="7.125" style="348" bestFit="1" customWidth="1"/>
    <col min="26" max="26" width="9.625" style="348" bestFit="1" customWidth="1"/>
    <col min="27" max="27" width="15.25" style="348" bestFit="1" customWidth="1"/>
    <col min="28" max="28" width="8.875" style="348" bestFit="1" customWidth="1"/>
    <col min="29" max="29" width="8.25" style="348" bestFit="1" customWidth="1"/>
    <col min="30" max="30" width="16.75" style="348" bestFit="1" customWidth="1"/>
    <col min="31" max="31" width="7.5" style="348" bestFit="1" customWidth="1"/>
    <col min="32" max="32" width="7.625" style="348" bestFit="1" customWidth="1"/>
    <col min="33" max="33" width="7.125" style="348" bestFit="1" customWidth="1"/>
    <col min="34" max="34" width="20.75" style="348" bestFit="1" customWidth="1"/>
    <col min="35" max="35" width="19" style="348" bestFit="1" customWidth="1"/>
    <col min="36" max="36" width="16.375" style="348" bestFit="1" customWidth="1"/>
    <col min="37" max="37" width="9.375" style="348" bestFit="1" customWidth="1"/>
    <col min="38" max="38" width="9.625" style="348" bestFit="1" customWidth="1"/>
    <col min="39" max="39" width="18.125" style="348" bestFit="1" customWidth="1"/>
    <col min="40" max="40" width="18.875" style="348" bestFit="1" customWidth="1"/>
    <col min="41" max="41" width="12.5" style="348" bestFit="1" customWidth="1"/>
    <col min="42" max="42" width="9.625" style="348" bestFit="1" customWidth="1"/>
    <col min="43" max="43" width="14.625" style="348" bestFit="1" customWidth="1"/>
    <col min="44" max="44" width="15.25" style="348" bestFit="1" customWidth="1"/>
    <col min="45" max="45" width="13.875" style="348" bestFit="1" customWidth="1"/>
    <col min="46" max="46" width="14.625" style="348" bestFit="1" customWidth="1"/>
    <col min="47" max="47" width="10.375" style="348" bestFit="1" customWidth="1"/>
    <col min="48" max="48" width="9.75" style="348" bestFit="1" customWidth="1"/>
    <col min="49" max="49" width="10.5" style="348" bestFit="1" customWidth="1"/>
    <col min="50" max="50" width="10.125" style="348" bestFit="1" customWidth="1"/>
    <col min="51" max="51" width="10.875" style="348" bestFit="1" customWidth="1"/>
    <col min="52" max="52" width="13.625" style="348" bestFit="1" customWidth="1"/>
    <col min="53" max="53" width="9.625" style="348" bestFit="1" customWidth="1"/>
    <col min="54" max="54" width="7.125" style="348" bestFit="1" customWidth="1"/>
    <col min="55" max="56" width="10" style="348" bestFit="1" customWidth="1"/>
    <col min="57" max="57" width="12.375" style="348" bestFit="1" customWidth="1"/>
    <col min="58" max="58" width="10.5" style="348" bestFit="1" customWidth="1"/>
    <col min="59" max="59" width="10.5" style="348" customWidth="1"/>
    <col min="60" max="63" width="6.5" style="348" bestFit="1" customWidth="1"/>
    <col min="64" max="65" width="6.5" style="348" customWidth="1"/>
    <col min="66" max="66" width="7" style="348" bestFit="1" customWidth="1"/>
    <col min="67" max="67" width="11.625" style="348" bestFit="1" customWidth="1"/>
    <col min="68" max="68" width="6.75" style="348" bestFit="1" customWidth="1"/>
    <col min="69" max="69" width="9.25" style="348" bestFit="1" customWidth="1"/>
    <col min="70" max="71" width="9.375" style="348" bestFit="1" customWidth="1"/>
    <col min="72" max="73" width="8.625" style="348" bestFit="1" customWidth="1"/>
    <col min="74" max="75" width="7.625" style="348" customWidth="1"/>
    <col min="76" max="76" width="12.25" style="348" bestFit="1" customWidth="1"/>
    <col min="77" max="78" width="13.5" style="348" bestFit="1" customWidth="1"/>
    <col min="79" max="80" width="7.625" style="348" bestFit="1" customWidth="1"/>
    <col min="81" max="81" width="12.25" style="348" bestFit="1" customWidth="1"/>
    <col min="82" max="82" width="11.5" style="348" bestFit="1" customWidth="1"/>
    <col min="83" max="83" width="15.375" style="348" bestFit="1" customWidth="1"/>
    <col min="84" max="84" width="11.375" style="348" bestFit="1" customWidth="1"/>
    <col min="85" max="85" width="13" style="348" bestFit="1" customWidth="1"/>
    <col min="86" max="87" width="12.25" style="348" bestFit="1" customWidth="1"/>
    <col min="88" max="88" width="12.5" style="348" bestFit="1" customWidth="1"/>
    <col min="89" max="89" width="13.5" style="348" bestFit="1" customWidth="1"/>
    <col min="90" max="93" width="13.5" style="348" customWidth="1"/>
    <col min="94" max="94" width="7.875" style="348" bestFit="1" customWidth="1"/>
    <col min="95" max="95" width="13.125" style="348" bestFit="1" customWidth="1"/>
    <col min="96" max="96" width="16.25" style="348" customWidth="1"/>
    <col min="97" max="98" width="14.625" style="348" customWidth="1"/>
    <col min="99" max="99" width="9.125" style="348" bestFit="1" customWidth="1"/>
    <col min="100" max="100" width="9.5" style="348" bestFit="1" customWidth="1"/>
    <col min="101" max="102" width="9" style="348"/>
    <col min="103" max="103" width="11.375" style="348" bestFit="1" customWidth="1"/>
    <col min="104" max="104" width="13.875" style="348" bestFit="1" customWidth="1"/>
    <col min="105" max="105" width="22.25" style="348" customWidth="1"/>
    <col min="106" max="106" width="12.625" style="348" bestFit="1" customWidth="1"/>
    <col min="107" max="107" width="17.625" style="348" bestFit="1" customWidth="1"/>
    <col min="108" max="108" width="20.875" style="348" customWidth="1"/>
    <col min="109" max="109" width="16.375" style="348" bestFit="1" customWidth="1"/>
    <col min="110" max="110" width="14" style="348" customWidth="1"/>
    <col min="111" max="111" width="15.75" style="348" customWidth="1"/>
    <col min="112" max="112" width="11.75" style="348" bestFit="1" customWidth="1"/>
    <col min="113" max="113" width="12.5" style="348" bestFit="1" customWidth="1"/>
    <col min="114" max="114" width="15.5" style="348" bestFit="1" customWidth="1"/>
    <col min="115" max="115" width="16.25" style="348" bestFit="1" customWidth="1"/>
    <col min="116" max="116" width="16.25" style="348" customWidth="1"/>
    <col min="117" max="117" width="13.875" style="348" bestFit="1" customWidth="1"/>
    <col min="118" max="118" width="9.625" style="348" bestFit="1" customWidth="1"/>
    <col min="119" max="119" width="12.625" style="348" bestFit="1" customWidth="1"/>
    <col min="120" max="120" width="12.5" style="348" bestFit="1" customWidth="1"/>
    <col min="121" max="121" width="13.5" style="348" customWidth="1"/>
    <col min="122" max="124" width="12.5" style="348" bestFit="1" customWidth="1"/>
    <col min="125" max="125" width="15.375" style="348" customWidth="1"/>
    <col min="126" max="126" width="12.5" style="348" bestFit="1" customWidth="1"/>
    <col min="127" max="127" width="12.625" style="348" bestFit="1" customWidth="1"/>
    <col min="128" max="128" width="12.5" style="348" bestFit="1" customWidth="1"/>
    <col min="129" max="129" width="13.75" style="348" bestFit="1" customWidth="1"/>
    <col min="130" max="131" width="12.5" style="348" bestFit="1" customWidth="1"/>
    <col min="132" max="134" width="9" style="348"/>
    <col min="135" max="135" width="10.125" style="348" customWidth="1"/>
    <col min="136" max="136" width="10.5" style="348" customWidth="1"/>
    <col min="137" max="137" width="12.25" style="348" bestFit="1" customWidth="1"/>
    <col min="138" max="16384" width="9" style="348"/>
  </cols>
  <sheetData>
    <row r="1" spans="1:144" s="162" customFormat="1" ht="18" customHeight="1" thickBot="1" x14ac:dyDescent="0.2">
      <c r="A1" s="200" t="s">
        <v>103</v>
      </c>
      <c r="B1" s="491">
        <v>1.8480000000000001</v>
      </c>
      <c r="D1" s="573" t="s">
        <v>352</v>
      </c>
      <c r="F1" s="573" t="s">
        <v>353</v>
      </c>
      <c r="AX1" s="201"/>
      <c r="BE1" s="202"/>
      <c r="BG1" s="203" t="s">
        <v>262</v>
      </c>
      <c r="BH1" s="721" t="s">
        <v>45</v>
      </c>
      <c r="BI1" s="722"/>
      <c r="BJ1" s="722"/>
      <c r="BK1" s="722"/>
      <c r="BL1" s="722"/>
      <c r="BM1" s="722"/>
      <c r="BN1" s="723" t="s">
        <v>117</v>
      </c>
      <c r="BO1" s="724"/>
      <c r="BP1" s="724"/>
      <c r="BQ1" s="724"/>
      <c r="BR1" s="724"/>
      <c r="BS1" s="725"/>
      <c r="BT1" s="723" t="s">
        <v>47</v>
      </c>
      <c r="BU1" s="724"/>
      <c r="BV1" s="724"/>
      <c r="BW1" s="724"/>
      <c r="BX1" s="724"/>
      <c r="BY1" s="724"/>
      <c r="BZ1" s="724"/>
      <c r="CA1" s="724"/>
      <c r="CB1" s="724"/>
      <c r="CC1" s="724"/>
      <c r="CD1" s="725"/>
      <c r="CE1" s="726" t="s">
        <v>118</v>
      </c>
      <c r="CF1" s="727"/>
      <c r="CG1" s="727"/>
      <c r="CH1" s="727" t="s">
        <v>119</v>
      </c>
      <c r="CI1" s="727"/>
      <c r="CJ1" s="728"/>
      <c r="CK1" s="726" t="s">
        <v>120</v>
      </c>
      <c r="CL1" s="727"/>
      <c r="CM1" s="729"/>
      <c r="CN1" s="723" t="s">
        <v>166</v>
      </c>
      <c r="CO1" s="725"/>
      <c r="CP1" s="723" t="s">
        <v>160</v>
      </c>
      <c r="CQ1" s="724"/>
      <c r="CR1" s="724"/>
      <c r="CS1" s="724"/>
      <c r="CT1" s="725"/>
      <c r="CU1" s="723" t="s">
        <v>50</v>
      </c>
      <c r="CV1" s="725"/>
      <c r="CW1" s="721" t="s">
        <v>121</v>
      </c>
      <c r="CX1" s="722"/>
      <c r="CY1" s="722"/>
      <c r="CZ1" s="722"/>
      <c r="DA1" s="722"/>
      <c r="DB1" s="722"/>
      <c r="DC1" s="722"/>
      <c r="DD1" s="722"/>
      <c r="DE1" s="722"/>
      <c r="DF1" s="722"/>
      <c r="DG1" s="722"/>
      <c r="DH1" s="722"/>
      <c r="DI1" s="722"/>
      <c r="DJ1" s="722"/>
      <c r="DK1" s="722"/>
      <c r="DL1" s="722"/>
      <c r="DM1" s="722"/>
      <c r="DN1" s="204"/>
      <c r="DO1" s="730" t="s">
        <v>252</v>
      </c>
      <c r="DP1" s="731"/>
      <c r="DQ1" s="731"/>
      <c r="DR1" s="731"/>
      <c r="DS1" s="731"/>
      <c r="DT1" s="731"/>
      <c r="DU1" s="731"/>
      <c r="DV1" s="731"/>
      <c r="DW1" s="731"/>
      <c r="DX1" s="731"/>
      <c r="DY1" s="731"/>
      <c r="DZ1" s="731"/>
      <c r="EA1" s="731"/>
      <c r="EB1" s="412"/>
      <c r="EC1" s="412"/>
      <c r="ED1" s="412"/>
      <c r="EH1" s="616"/>
      <c r="EI1" s="617" t="s">
        <v>415</v>
      </c>
      <c r="EJ1" s="618">
        <f>MEM_throughput!E5</f>
        <v>0.9</v>
      </c>
      <c r="EK1" s="617" t="s">
        <v>415</v>
      </c>
      <c r="EL1" s="618">
        <f>MEM_throughput!J5</f>
        <v>0.9</v>
      </c>
      <c r="EM1" s="617" t="s">
        <v>416</v>
      </c>
      <c r="EN1" s="618">
        <f>IF(TOP!$Y$4&gt;0, EL1, EJ1)</f>
        <v>0.9</v>
      </c>
    </row>
    <row r="2" spans="1:144" s="209" customFormat="1" ht="34.5" thickBot="1" x14ac:dyDescent="0.2">
      <c r="A2" s="205"/>
      <c r="B2" s="206" t="s">
        <v>0</v>
      </c>
      <c r="C2" s="207" t="s">
        <v>6</v>
      </c>
      <c r="D2" s="207" t="s">
        <v>3</v>
      </c>
      <c r="E2" s="207" t="s">
        <v>2</v>
      </c>
      <c r="F2" s="207" t="s">
        <v>5</v>
      </c>
      <c r="G2" s="207" t="s">
        <v>1</v>
      </c>
      <c r="H2" s="207" t="s">
        <v>4</v>
      </c>
      <c r="I2" s="207" t="s">
        <v>60</v>
      </c>
      <c r="J2" s="206" t="s">
        <v>8</v>
      </c>
      <c r="K2" s="207" t="s">
        <v>7</v>
      </c>
      <c r="L2" s="207" t="s">
        <v>9</v>
      </c>
      <c r="M2" s="207" t="s">
        <v>12</v>
      </c>
      <c r="N2" s="207" t="s">
        <v>11</v>
      </c>
      <c r="O2" s="207" t="s">
        <v>10</v>
      </c>
      <c r="P2" s="207" t="s">
        <v>113</v>
      </c>
      <c r="Q2" s="207" t="s">
        <v>0</v>
      </c>
      <c r="R2" s="206" t="s">
        <v>13</v>
      </c>
      <c r="S2" s="207" t="s">
        <v>15</v>
      </c>
      <c r="T2" s="207" t="s">
        <v>61</v>
      </c>
      <c r="U2" s="207" t="s">
        <v>14</v>
      </c>
      <c r="V2" s="207" t="s">
        <v>16</v>
      </c>
      <c r="W2" s="207" t="s">
        <v>0</v>
      </c>
      <c r="X2" s="207" t="s">
        <v>18</v>
      </c>
      <c r="Y2" s="207" t="s">
        <v>17</v>
      </c>
      <c r="Z2" s="206" t="s">
        <v>0</v>
      </c>
      <c r="AA2" s="207" t="s">
        <v>19</v>
      </c>
      <c r="AB2" s="207" t="s">
        <v>62</v>
      </c>
      <c r="AC2" s="207" t="s">
        <v>63</v>
      </c>
      <c r="AD2" s="207" t="s">
        <v>20</v>
      </c>
      <c r="AE2" s="207" t="s">
        <v>64</v>
      </c>
      <c r="AF2" s="207" t="s">
        <v>65</v>
      </c>
      <c r="AG2" s="207" t="s">
        <v>66</v>
      </c>
      <c r="AH2" s="206" t="s">
        <v>67</v>
      </c>
      <c r="AI2" s="207" t="s">
        <v>68</v>
      </c>
      <c r="AJ2" s="207" t="s">
        <v>69</v>
      </c>
      <c r="AK2" s="208" t="s">
        <v>71</v>
      </c>
      <c r="AL2" s="207" t="s">
        <v>0</v>
      </c>
      <c r="AM2" s="207" t="s">
        <v>101</v>
      </c>
      <c r="AN2" s="207" t="s">
        <v>102</v>
      </c>
      <c r="AO2" s="208" t="s">
        <v>70</v>
      </c>
      <c r="AP2" s="206" t="s">
        <v>0</v>
      </c>
      <c r="AQ2" s="208" t="s">
        <v>83</v>
      </c>
      <c r="AR2" s="208" t="s">
        <v>84</v>
      </c>
      <c r="AS2" s="208" t="s">
        <v>85</v>
      </c>
      <c r="AT2" s="208" t="s">
        <v>86</v>
      </c>
      <c r="AU2" s="208" t="s">
        <v>151</v>
      </c>
      <c r="AV2" s="208" t="s">
        <v>152</v>
      </c>
      <c r="AW2" s="208" t="s">
        <v>153</v>
      </c>
      <c r="AX2" s="481" t="s">
        <v>298</v>
      </c>
      <c r="AY2" s="482" t="s">
        <v>299</v>
      </c>
      <c r="AZ2" s="208" t="s">
        <v>154</v>
      </c>
      <c r="BA2" s="208" t="s">
        <v>155</v>
      </c>
      <c r="BB2" s="208" t="s">
        <v>114</v>
      </c>
      <c r="BC2" s="208" t="s">
        <v>156</v>
      </c>
      <c r="BD2" s="208" t="s">
        <v>115</v>
      </c>
      <c r="BE2" s="208" t="s">
        <v>157</v>
      </c>
      <c r="BG2" s="210" t="s">
        <v>261</v>
      </c>
      <c r="BH2" s="211" t="s">
        <v>42</v>
      </c>
      <c r="BI2" s="212" t="s">
        <v>43</v>
      </c>
      <c r="BJ2" s="212" t="s">
        <v>44</v>
      </c>
      <c r="BK2" s="212" t="s">
        <v>75</v>
      </c>
      <c r="BL2" s="212" t="s">
        <v>87</v>
      </c>
      <c r="BM2" s="212" t="s">
        <v>116</v>
      </c>
      <c r="BN2" s="213" t="s">
        <v>122</v>
      </c>
      <c r="BO2" s="214" t="s">
        <v>123</v>
      </c>
      <c r="BP2" s="215" t="s">
        <v>74</v>
      </c>
      <c r="BQ2" s="214" t="s">
        <v>124</v>
      </c>
      <c r="BR2" s="216" t="s">
        <v>125</v>
      </c>
      <c r="BS2" s="217" t="s">
        <v>126</v>
      </c>
      <c r="BT2" s="218" t="s">
        <v>158</v>
      </c>
      <c r="BU2" s="219" t="s">
        <v>159</v>
      </c>
      <c r="BV2" s="220" t="s">
        <v>149</v>
      </c>
      <c r="BW2" s="221" t="s">
        <v>150</v>
      </c>
      <c r="BX2" s="222" t="s">
        <v>79</v>
      </c>
      <c r="BY2" s="223" t="s">
        <v>80</v>
      </c>
      <c r="BZ2" s="223" t="s">
        <v>81</v>
      </c>
      <c r="CA2" s="220" t="s">
        <v>46</v>
      </c>
      <c r="CB2" s="222" t="s">
        <v>49</v>
      </c>
      <c r="CC2" s="223" t="s">
        <v>77</v>
      </c>
      <c r="CD2" s="223" t="s">
        <v>78</v>
      </c>
      <c r="CE2" s="224" t="s">
        <v>48</v>
      </c>
      <c r="CF2" s="225" t="s">
        <v>127</v>
      </c>
      <c r="CG2" s="225" t="s">
        <v>128</v>
      </c>
      <c r="CH2" s="225" t="s">
        <v>129</v>
      </c>
      <c r="CI2" s="225" t="s">
        <v>130</v>
      </c>
      <c r="CJ2" s="226" t="s">
        <v>131</v>
      </c>
      <c r="CK2" s="224" t="s">
        <v>132</v>
      </c>
      <c r="CL2" s="225" t="s">
        <v>133</v>
      </c>
      <c r="CM2" s="227" t="s">
        <v>134</v>
      </c>
      <c r="CN2" s="228" t="s">
        <v>164</v>
      </c>
      <c r="CO2" s="228" t="s">
        <v>165</v>
      </c>
      <c r="CP2" s="224" t="s">
        <v>163</v>
      </c>
      <c r="CQ2" s="225" t="s">
        <v>161</v>
      </c>
      <c r="CR2" s="225" t="s">
        <v>162</v>
      </c>
      <c r="CS2" s="226" t="s">
        <v>245</v>
      </c>
      <c r="CT2" s="227" t="s">
        <v>244</v>
      </c>
      <c r="CU2" s="220" t="s">
        <v>51</v>
      </c>
      <c r="CV2" s="229" t="s">
        <v>76</v>
      </c>
      <c r="CW2" s="230" t="s">
        <v>135</v>
      </c>
      <c r="CX2" s="231" t="s">
        <v>136</v>
      </c>
      <c r="CY2" s="231" t="s">
        <v>137</v>
      </c>
      <c r="CZ2" s="231" t="s">
        <v>138</v>
      </c>
      <c r="DA2" s="231" t="s">
        <v>139</v>
      </c>
      <c r="DB2" s="232" t="s">
        <v>140</v>
      </c>
      <c r="DC2" s="233" t="s">
        <v>168</v>
      </c>
      <c r="DD2" s="231" t="s">
        <v>169</v>
      </c>
      <c r="DE2" s="232" t="s">
        <v>141</v>
      </c>
      <c r="DF2" s="231" t="s">
        <v>142</v>
      </c>
      <c r="DG2" s="231" t="s">
        <v>143</v>
      </c>
      <c r="DH2" s="231" t="s">
        <v>144</v>
      </c>
      <c r="DI2" s="231" t="s">
        <v>145</v>
      </c>
      <c r="DJ2" s="231" t="s">
        <v>170</v>
      </c>
      <c r="DK2" s="234" t="s">
        <v>171</v>
      </c>
      <c r="DL2" s="234" t="s">
        <v>167</v>
      </c>
      <c r="DM2" s="229" t="s">
        <v>146</v>
      </c>
      <c r="DN2" s="235" t="s">
        <v>257</v>
      </c>
      <c r="DO2" s="236" t="s">
        <v>229</v>
      </c>
      <c r="DP2" s="237" t="s">
        <v>230</v>
      </c>
      <c r="DQ2" s="237" t="s">
        <v>231</v>
      </c>
      <c r="DR2" s="237" t="s">
        <v>232</v>
      </c>
      <c r="DS2" s="237" t="s">
        <v>234</v>
      </c>
      <c r="DT2" s="238" t="s">
        <v>233</v>
      </c>
      <c r="DU2" s="239" t="s">
        <v>214</v>
      </c>
      <c r="DV2" s="240" t="s">
        <v>215</v>
      </c>
      <c r="DW2" s="240" t="s">
        <v>216</v>
      </c>
      <c r="DX2" s="241" t="s">
        <v>217</v>
      </c>
      <c r="DY2" s="239" t="s">
        <v>226</v>
      </c>
      <c r="DZ2" s="237" t="s">
        <v>218</v>
      </c>
      <c r="EA2" s="242" t="s">
        <v>219</v>
      </c>
      <c r="EB2" s="408" t="s">
        <v>291</v>
      </c>
      <c r="EC2" s="484" t="s">
        <v>301</v>
      </c>
      <c r="ED2" s="484" t="s">
        <v>302</v>
      </c>
      <c r="EE2" s="408" t="s">
        <v>303</v>
      </c>
      <c r="EF2" s="408" t="s">
        <v>304</v>
      </c>
      <c r="EG2" s="409" t="s">
        <v>307</v>
      </c>
      <c r="EH2" s="619" t="s">
        <v>417</v>
      </c>
      <c r="EI2" s="620" t="s">
        <v>418</v>
      </c>
      <c r="EJ2" s="621" t="s">
        <v>419</v>
      </c>
      <c r="EK2" s="622" t="s">
        <v>420</v>
      </c>
      <c r="EL2" s="621" t="s">
        <v>421</v>
      </c>
      <c r="EM2" s="622" t="s">
        <v>422</v>
      </c>
      <c r="EN2" s="621" t="s">
        <v>423</v>
      </c>
    </row>
    <row r="3" spans="1:144" s="209" customFormat="1" x14ac:dyDescent="0.15">
      <c r="A3" s="402" t="s">
        <v>354</v>
      </c>
      <c r="B3" s="403"/>
      <c r="C3" s="403"/>
      <c r="D3" s="403"/>
      <c r="E3" s="403"/>
      <c r="F3" s="403"/>
      <c r="G3" s="403"/>
      <c r="H3" s="403"/>
      <c r="I3" s="403"/>
      <c r="J3" s="403"/>
      <c r="K3" s="403"/>
      <c r="L3" s="403"/>
      <c r="M3" s="403"/>
      <c r="N3" s="403"/>
      <c r="O3" s="403"/>
      <c r="P3" s="403"/>
      <c r="Q3" s="403"/>
      <c r="R3" s="403"/>
      <c r="S3" s="403"/>
      <c r="T3" s="403"/>
      <c r="U3" s="403"/>
      <c r="V3" s="403"/>
      <c r="W3" s="403"/>
      <c r="X3" s="403"/>
      <c r="Y3" s="403"/>
      <c r="Z3" s="403"/>
      <c r="AA3" s="403"/>
      <c r="AB3" s="403"/>
      <c r="AC3" s="403"/>
      <c r="AD3" s="403"/>
      <c r="AE3" s="403"/>
      <c r="AF3" s="403"/>
      <c r="AG3" s="403"/>
      <c r="AH3" s="403"/>
      <c r="AI3" s="403"/>
      <c r="AJ3" s="403"/>
      <c r="AK3" s="403"/>
      <c r="AL3" s="403"/>
      <c r="AM3" s="403"/>
      <c r="AN3" s="403"/>
      <c r="AO3" s="403"/>
      <c r="AP3" s="403"/>
      <c r="AQ3" s="403"/>
      <c r="AR3" s="403"/>
      <c r="AS3" s="403"/>
      <c r="AT3" s="403"/>
      <c r="AU3" s="403"/>
      <c r="AV3" s="403"/>
      <c r="AW3" s="403"/>
      <c r="AX3" s="403"/>
      <c r="AY3" s="403"/>
      <c r="AZ3" s="403"/>
      <c r="BA3" s="403"/>
      <c r="BB3" s="403"/>
      <c r="BC3" s="403"/>
      <c r="BD3" s="403"/>
      <c r="BE3" s="403"/>
      <c r="BG3" s="243">
        <f>B3/$B$1/1000000000</f>
        <v>0</v>
      </c>
      <c r="BH3" s="244" t="e">
        <f>B3/Q3</f>
        <v>#DIV/0!</v>
      </c>
      <c r="BI3" s="245" t="e">
        <f>B3/W3</f>
        <v>#DIV/0!</v>
      </c>
      <c r="BJ3" s="245" t="e">
        <f>B3/Z3</f>
        <v>#DIV/0!</v>
      </c>
      <c r="BK3" s="245" t="e">
        <f>B3/AL3</f>
        <v>#DIV/0!</v>
      </c>
      <c r="BL3" s="245" t="e">
        <f>B3/AP3</f>
        <v>#DIV/0!</v>
      </c>
      <c r="BM3" s="245" t="e">
        <f t="shared" ref="BM3:BM22" si="0">B3/BA3</f>
        <v>#DIV/0!</v>
      </c>
      <c r="BN3" s="246" t="e">
        <f>(S3+T3*2+AI3*2+AJ3*4)/1000000/(B3/$B$1/1000000000)</f>
        <v>#DIV/0!</v>
      </c>
      <c r="BO3" s="247" t="e">
        <f>BN3/(14.784*1000)</f>
        <v>#DIV/0!</v>
      </c>
      <c r="BP3" s="248" t="e">
        <f>I3/1000000/(B3/$B$1/1000000000)</f>
        <v>#DIV/0!</v>
      </c>
      <c r="BQ3" s="247" t="e">
        <f>BP3/(8*1000)</f>
        <v>#DIV/0!</v>
      </c>
      <c r="BR3" s="249" t="e">
        <f>((AB3+AC3+AF3+AG3)*128/1000000000)/(B3/$B$1/1000000000)</f>
        <v>#DIV/0!</v>
      </c>
      <c r="BS3" s="250" t="e">
        <f t="shared" ref="BS3:BS23" si="1">(AE3*128/1000000000)/(B3/$B$1/1000000000)</f>
        <v>#DIV/0!</v>
      </c>
      <c r="BT3" s="251" t="e">
        <f t="shared" ref="BT3:BT23" si="2">BU3/(M3+AH3*2)</f>
        <v>#DIV/0!</v>
      </c>
      <c r="BU3" s="252">
        <f>AE3</f>
        <v>0</v>
      </c>
      <c r="BV3" s="253" t="e">
        <f t="shared" ref="BV3:BV23" si="3">BW3/I3</f>
        <v>#DIV/0!</v>
      </c>
      <c r="BW3" s="254">
        <f>BB3</f>
        <v>0</v>
      </c>
      <c r="BX3" s="255" t="e">
        <f>AU3/(AU3+AV3+AW3)</f>
        <v>#DIV/0!</v>
      </c>
      <c r="BY3" s="247" t="e">
        <f>AV3/(AU3+AV3+AW3)</f>
        <v>#DIV/0!</v>
      </c>
      <c r="BZ3" s="256" t="e">
        <f>AW3/(AU3+AV3+AW3)</f>
        <v>#DIV/0!</v>
      </c>
      <c r="CA3" s="257" t="e">
        <f>CB3/(M3+AH3*2)</f>
        <v>#DIV/0!</v>
      </c>
      <c r="CB3" s="258">
        <f>(AB3+AC3)</f>
        <v>0</v>
      </c>
      <c r="CC3" s="259" t="e">
        <f>AB3/(AB3+AC3)</f>
        <v>#DIV/0!</v>
      </c>
      <c r="CD3" s="260" t="e">
        <f>AC3/(AB3+AC3)</f>
        <v>#DIV/0!</v>
      </c>
      <c r="CE3" s="261" t="e">
        <f>(M3+AH3)/I3</f>
        <v>#DIV/0!</v>
      </c>
      <c r="CF3" s="259" t="e">
        <f>AH3/I3</f>
        <v>#DIV/0!</v>
      </c>
      <c r="CG3" s="259" t="e">
        <f>M3/I3</f>
        <v>#DIV/0!</v>
      </c>
      <c r="CH3" s="259" t="e">
        <f>(S3+T3+AI3+AJ3)/I3</f>
        <v>#DIV/0!</v>
      </c>
      <c r="CI3" s="259" t="e">
        <f>(AI3+AJ3)/I3</f>
        <v>#DIV/0!</v>
      </c>
      <c r="CJ3" s="262" t="e">
        <f>(S3+T3)/I3</f>
        <v>#DIV/0!</v>
      </c>
      <c r="CK3" s="261" t="e">
        <f>(T3+AJ3)/I3</f>
        <v>#DIV/0!</v>
      </c>
      <c r="CL3" s="262" t="e">
        <f>(AJ3)/I3</f>
        <v>#DIV/0!</v>
      </c>
      <c r="CM3" s="263" t="e">
        <f>(T3)/I3</f>
        <v>#DIV/0!</v>
      </c>
      <c r="CN3" s="264" t="e">
        <f>H3/I3</f>
        <v>#DIV/0!</v>
      </c>
      <c r="CO3" s="265" t="e">
        <f>AA3/I3</f>
        <v>#DIV/0!</v>
      </c>
      <c r="CP3" s="261" t="e">
        <f>(AH3+AI3+AJ3)/I3</f>
        <v>#DIV/0!</v>
      </c>
      <c r="CQ3" s="259" t="e">
        <f>(AH3+AI3+AJ3)/(AH3+AI3+AJ3+S3+T3+AS3+AT3)</f>
        <v>#DIV/0!</v>
      </c>
      <c r="CR3" s="259" t="e">
        <f>(AI3+AJ3)/(AI3+AJ3+S3+T3)</f>
        <v>#DIV/0!</v>
      </c>
      <c r="CS3" s="262" t="e">
        <f t="shared" ref="CS3:CT10" si="4">AM3/(AM3+AS3)</f>
        <v>#DIV/0!</v>
      </c>
      <c r="CT3" s="260" t="e">
        <f t="shared" si="4"/>
        <v>#DIV/0!</v>
      </c>
      <c r="CU3" s="266" t="e">
        <f>AO3/(M3+AH3*2)</f>
        <v>#DIV/0!</v>
      </c>
      <c r="CV3" s="267" t="e">
        <f>AK3/(M3+AH3*2)</f>
        <v>#DIV/0!</v>
      </c>
      <c r="CW3" s="268">
        <f>I3</f>
        <v>0</v>
      </c>
      <c r="CX3" s="269">
        <f>H3</f>
        <v>0</v>
      </c>
      <c r="CY3" s="269">
        <f>AA3</f>
        <v>0</v>
      </c>
      <c r="CZ3" s="269">
        <f>S3</f>
        <v>0</v>
      </c>
      <c r="DA3" s="269">
        <f>T3</f>
        <v>0</v>
      </c>
      <c r="DB3" s="269">
        <f>M3</f>
        <v>0</v>
      </c>
      <c r="DC3" s="269">
        <f>AI3</f>
        <v>0</v>
      </c>
      <c r="DD3" s="269">
        <f>AJ3</f>
        <v>0</v>
      </c>
      <c r="DE3" s="269">
        <f>AH3</f>
        <v>0</v>
      </c>
      <c r="DF3" s="269">
        <f>AQ3</f>
        <v>0</v>
      </c>
      <c r="DG3" s="269">
        <f>AR3</f>
        <v>0</v>
      </c>
      <c r="DH3" s="269">
        <f>AS3</f>
        <v>0</v>
      </c>
      <c r="DI3" s="269">
        <f>AT3</f>
        <v>0</v>
      </c>
      <c r="DJ3" s="269">
        <f>AM3</f>
        <v>0</v>
      </c>
      <c r="DK3" s="270">
        <f>AN3</f>
        <v>0</v>
      </c>
      <c r="DL3" s="258">
        <f t="shared" ref="DL3:DL23" si="5">CW3-SUM(CX3:DA3,DC3:DD3,DF3:DK3)</f>
        <v>0</v>
      </c>
      <c r="DM3" s="270">
        <f>(S3+T3*2+AI3*2+AJ3*4)</f>
        <v>0</v>
      </c>
      <c r="DN3" s="271">
        <f>(M3+AH3*2)</f>
        <v>0</v>
      </c>
      <c r="DO3" s="272" t="e">
        <f t="shared" ref="DO3:DO10" si="6">DJ3/$CW3</f>
        <v>#DIV/0!</v>
      </c>
      <c r="DP3" s="273" t="e">
        <f t="shared" ref="DP3:DP10" si="7">DH3/$CW3</f>
        <v>#DIV/0!</v>
      </c>
      <c r="DQ3" s="273" t="e">
        <f t="shared" ref="DQ3:DQ10" si="8">DK3/$CW3</f>
        <v>#DIV/0!</v>
      </c>
      <c r="DR3" s="273" t="e">
        <f t="shared" ref="DR3:DR10" si="9">DI3/$CW3</f>
        <v>#DIV/0!</v>
      </c>
      <c r="DS3" s="273" t="e">
        <f t="shared" ref="DS3:DT10" si="10">DF3/$CW3</f>
        <v>#DIV/0!</v>
      </c>
      <c r="DT3" s="274" t="e">
        <f t="shared" si="10"/>
        <v>#DIV/0!</v>
      </c>
      <c r="DU3" s="275" t="e">
        <f t="shared" ref="DU3:DU10" si="11">DC3/$CW3</f>
        <v>#DIV/0!</v>
      </c>
      <c r="DV3" s="273" t="e">
        <f t="shared" ref="DV3:DV10" si="12">CZ3/$CW3</f>
        <v>#DIV/0!</v>
      </c>
      <c r="DW3" s="273" t="e">
        <f t="shared" ref="DW3:DW10" si="13">DD3/$CW3</f>
        <v>#DIV/0!</v>
      </c>
      <c r="DX3" s="276" t="e">
        <f t="shared" ref="DX3:DX10" si="14">DA3/$CW3</f>
        <v>#DIV/0!</v>
      </c>
      <c r="DY3" s="275" t="e">
        <f t="shared" ref="DY3:DY10" si="15">CY3/$CW3</f>
        <v>#DIV/0!</v>
      </c>
      <c r="DZ3" s="273" t="e">
        <f t="shared" ref="DZ3:DZ10" si="16">CX3/$CW3</f>
        <v>#DIV/0!</v>
      </c>
      <c r="EA3" s="276" t="e">
        <f t="shared" ref="EA3:EA10" si="17">DL3/$CW3</f>
        <v>#DIV/0!</v>
      </c>
      <c r="EB3" s="444" t="e">
        <f>((AB3+AC3)*128/1000000000)/(B3/$B$1/1000000000)</f>
        <v>#DIV/0!</v>
      </c>
      <c r="EC3" s="413" t="e">
        <f>BS3+EB3*3/2</f>
        <v>#DIV/0!</v>
      </c>
      <c r="ED3" s="413" t="e">
        <f>BS3+BR3*3/2</f>
        <v>#DIV/0!</v>
      </c>
      <c r="EE3" s="410"/>
      <c r="EF3" s="410"/>
      <c r="EG3" s="411">
        <f t="shared" ref="EG3:EG22" si="18">IF(ISERROR(((AM3+AQ3+AS3)*0.5+(AN3+AR3+AT3)*1.5+AA3*0.5+AE3*4+AW3*0.5)/B3/0.9),0,((AM3+AQ3+AS3)*0.5+(AN3+AR3+AT3)*1.5+AA3*0.5+AE3*4+AW3*0.5)/B3/0.9)</f>
        <v>0</v>
      </c>
      <c r="EH3" s="623" t="str">
        <f>IF(ISERROR((AF3+AG3)/(AB3+AC3+AF3+AG3)),"",(AF3+AG3)/(AB3+AC3+AF3+AG3))</f>
        <v/>
      </c>
      <c r="EI3" s="624"/>
      <c r="EJ3" s="625"/>
      <c r="EK3" s="626"/>
      <c r="EL3" s="625"/>
      <c r="EM3" s="626"/>
      <c r="EN3" s="625"/>
    </row>
    <row r="4" spans="1:144" s="209" customFormat="1" x14ac:dyDescent="0.15">
      <c r="A4" s="402" t="s">
        <v>355</v>
      </c>
      <c r="B4" s="404"/>
      <c r="C4" s="404"/>
      <c r="D4" s="404"/>
      <c r="E4" s="404"/>
      <c r="F4" s="404"/>
      <c r="G4" s="404"/>
      <c r="H4" s="404"/>
      <c r="I4" s="404"/>
      <c r="J4" s="404"/>
      <c r="K4" s="404"/>
      <c r="L4" s="404"/>
      <c r="M4" s="404"/>
      <c r="N4" s="404"/>
      <c r="O4" s="404"/>
      <c r="P4" s="404"/>
      <c r="Q4" s="404"/>
      <c r="R4" s="404"/>
      <c r="S4" s="404"/>
      <c r="T4" s="404"/>
      <c r="U4" s="404"/>
      <c r="V4" s="404"/>
      <c r="W4" s="404"/>
      <c r="X4" s="404"/>
      <c r="Y4" s="404"/>
      <c r="Z4" s="404"/>
      <c r="AA4" s="404"/>
      <c r="AB4" s="404"/>
      <c r="AC4" s="404"/>
      <c r="AD4" s="404"/>
      <c r="AE4" s="404"/>
      <c r="AF4" s="404"/>
      <c r="AG4" s="404"/>
      <c r="AH4" s="404"/>
      <c r="AI4" s="404"/>
      <c r="AJ4" s="404"/>
      <c r="AK4" s="404"/>
      <c r="AL4" s="404"/>
      <c r="AM4" s="404"/>
      <c r="AN4" s="404"/>
      <c r="AO4" s="404"/>
      <c r="AP4" s="404"/>
      <c r="AQ4" s="404"/>
      <c r="AR4" s="404"/>
      <c r="AS4" s="404"/>
      <c r="AT4" s="404"/>
      <c r="AU4" s="404"/>
      <c r="AV4" s="404"/>
      <c r="AW4" s="404"/>
      <c r="AX4" s="404"/>
      <c r="AY4" s="404"/>
      <c r="AZ4" s="404"/>
      <c r="BA4" s="404"/>
      <c r="BB4" s="404"/>
      <c r="BC4" s="404"/>
      <c r="BD4" s="404"/>
      <c r="BE4" s="404"/>
      <c r="BG4" s="277">
        <f t="shared" ref="BG4:BG22" si="19">B4/$B$1/1000000000</f>
        <v>0</v>
      </c>
      <c r="BH4" s="278" t="e">
        <f t="shared" ref="BH4:BH22" si="20">B4/Q4</f>
        <v>#DIV/0!</v>
      </c>
      <c r="BI4" s="279" t="e">
        <f t="shared" ref="BI4:BI22" si="21">B4/W4</f>
        <v>#DIV/0!</v>
      </c>
      <c r="BJ4" s="279" t="e">
        <f t="shared" ref="BJ4:BJ22" si="22">B4/Z4</f>
        <v>#DIV/0!</v>
      </c>
      <c r="BK4" s="279" t="e">
        <f t="shared" ref="BK4:BK22" si="23">B4/AL4</f>
        <v>#DIV/0!</v>
      </c>
      <c r="BL4" s="279" t="e">
        <f t="shared" ref="BL4:BL22" si="24">B4/AP4</f>
        <v>#DIV/0!</v>
      </c>
      <c r="BM4" s="279" t="e">
        <f t="shared" si="0"/>
        <v>#DIV/0!</v>
      </c>
      <c r="BN4" s="280" t="e">
        <f t="shared" ref="BN4:BN23" si="25">(S4+T4*2+AI4*2+AJ4*4)/1000000/(B4/$B$1/1000000000)</f>
        <v>#DIV/0!</v>
      </c>
      <c r="BO4" s="281" t="e">
        <f t="shared" ref="BO4:BO22" si="26">BN4/(14.784*1000)</f>
        <v>#DIV/0!</v>
      </c>
      <c r="BP4" s="282" t="e">
        <f t="shared" ref="BP4:BP23" si="27">I4/1000000/(B4/$B$1/1000000000)</f>
        <v>#DIV/0!</v>
      </c>
      <c r="BQ4" s="281" t="e">
        <f t="shared" ref="BQ4:BQ22" si="28">BP4/(8*1000)</f>
        <v>#DIV/0!</v>
      </c>
      <c r="BR4" s="283" t="e">
        <f t="shared" ref="BR4:BR23" si="29">((AB4+AC4+AF4+AG4)*128/1000000000)/(B4/$B$1/1000000000)</f>
        <v>#DIV/0!</v>
      </c>
      <c r="BS4" s="284" t="e">
        <f t="shared" si="1"/>
        <v>#DIV/0!</v>
      </c>
      <c r="BT4" s="285" t="e">
        <f t="shared" si="2"/>
        <v>#DIV/0!</v>
      </c>
      <c r="BU4" s="286">
        <f t="shared" ref="BU4:BU22" si="30">AE4</f>
        <v>0</v>
      </c>
      <c r="BV4" s="287" t="e">
        <f t="shared" si="3"/>
        <v>#DIV/0!</v>
      </c>
      <c r="BW4" s="288">
        <f t="shared" ref="BW4:BW22" si="31">BB4</f>
        <v>0</v>
      </c>
      <c r="BX4" s="289" t="e">
        <f t="shared" ref="BX4:BX23" si="32">AU4/(AU4+AV4+AW4)</f>
        <v>#DIV/0!</v>
      </c>
      <c r="BY4" s="281" t="e">
        <f t="shared" ref="BY4:BY23" si="33">AV4/(AU4+AV4+AW4)</f>
        <v>#DIV/0!</v>
      </c>
      <c r="BZ4" s="290" t="e">
        <f t="shared" ref="BZ4:BZ23" si="34">AW4/(AU4+AV4+AW4)</f>
        <v>#DIV/0!</v>
      </c>
      <c r="CA4" s="291" t="e">
        <f t="shared" ref="CA4:CA23" si="35">CB4/(M4+AH4*2)</f>
        <v>#DIV/0!</v>
      </c>
      <c r="CB4" s="269">
        <f t="shared" ref="CB4:CB22" si="36">(AB4+AC4)</f>
        <v>0</v>
      </c>
      <c r="CC4" s="294" t="e">
        <f t="shared" ref="CC4:CC23" si="37">AB4/(AB4+AC4)</f>
        <v>#DIV/0!</v>
      </c>
      <c r="CD4" s="300" t="e">
        <f t="shared" ref="CD4:CD23" si="38">AC4/(AB4+AC4)</f>
        <v>#DIV/0!</v>
      </c>
      <c r="CE4" s="293" t="e">
        <f t="shared" ref="CE4:CE23" si="39">(M4+AH4)/I4</f>
        <v>#DIV/0!</v>
      </c>
      <c r="CF4" s="292" t="e">
        <f t="shared" ref="CF4:CF23" si="40">AH4/I4</f>
        <v>#DIV/0!</v>
      </c>
      <c r="CG4" s="292" t="e">
        <f t="shared" ref="CG4:CG23" si="41">M4/I4</f>
        <v>#DIV/0!</v>
      </c>
      <c r="CH4" s="292" t="e">
        <f t="shared" ref="CH4:CH23" si="42">(S4+T4+AI4+AJ4)/I4</f>
        <v>#DIV/0!</v>
      </c>
      <c r="CI4" s="294" t="e">
        <f t="shared" ref="CI4:CI23" si="43">(AI4+AJ4)/I4</f>
        <v>#DIV/0!</v>
      </c>
      <c r="CJ4" s="295" t="e">
        <f t="shared" ref="CJ4:CJ23" si="44">(S4+T4)/I4</f>
        <v>#DIV/0!</v>
      </c>
      <c r="CK4" s="296" t="e">
        <f t="shared" ref="CK4:CK23" si="45">(T4+AJ4)/I4</f>
        <v>#DIV/0!</v>
      </c>
      <c r="CL4" s="295" t="e">
        <f t="shared" ref="CL4:CL23" si="46">(AJ4)/I4</f>
        <v>#DIV/0!</v>
      </c>
      <c r="CM4" s="297" t="e">
        <f t="shared" ref="CM4:CM23" si="47">(T4)/I4</f>
        <v>#DIV/0!</v>
      </c>
      <c r="CN4" s="298" t="e">
        <f t="shared" ref="CN4:CN23" si="48">H4/I4</f>
        <v>#DIV/0!</v>
      </c>
      <c r="CO4" s="299" t="e">
        <f t="shared" ref="CO4:CO23" si="49">AA4/I4</f>
        <v>#DIV/0!</v>
      </c>
      <c r="CP4" s="296" t="e">
        <f t="shared" ref="CP4:CP23" si="50">(AH4+AI4+AJ4)/I4</f>
        <v>#DIV/0!</v>
      </c>
      <c r="CQ4" s="294" t="e">
        <f t="shared" ref="CQ4:CQ23" si="51">(AH4+AI4+AJ4)/(AH4+AI4+AJ4+S4+T4+AS4+AT4)</f>
        <v>#DIV/0!</v>
      </c>
      <c r="CR4" s="294" t="e">
        <f t="shared" ref="CR4:CR23" si="52">(AI4+AJ4)/(AI4+AJ4+S4+T4)</f>
        <v>#DIV/0!</v>
      </c>
      <c r="CS4" s="295" t="e">
        <f t="shared" si="4"/>
        <v>#DIV/0!</v>
      </c>
      <c r="CT4" s="300" t="e">
        <f t="shared" si="4"/>
        <v>#DIV/0!</v>
      </c>
      <c r="CU4" s="301" t="e">
        <f t="shared" ref="CU4:CU23" si="53">AO4/(M4+AH4*2)</f>
        <v>#DIV/0!</v>
      </c>
      <c r="CV4" s="302" t="e">
        <f t="shared" ref="CV4:CV23" si="54">AK4/(M4+AH4*2)</f>
        <v>#DIV/0!</v>
      </c>
      <c r="CW4" s="303">
        <f t="shared" ref="CW4:CW23" si="55">I4</f>
        <v>0</v>
      </c>
      <c r="CX4" s="304">
        <f t="shared" ref="CX4:CX23" si="56">H4</f>
        <v>0</v>
      </c>
      <c r="CY4" s="304">
        <f t="shared" ref="CY4:CY23" si="57">AA4</f>
        <v>0</v>
      </c>
      <c r="CZ4" s="304">
        <f t="shared" ref="CZ4:DA23" si="58">S4</f>
        <v>0</v>
      </c>
      <c r="DA4" s="304">
        <f t="shared" si="58"/>
        <v>0</v>
      </c>
      <c r="DB4" s="304">
        <f t="shared" ref="DB4:DB23" si="59">M4</f>
        <v>0</v>
      </c>
      <c r="DC4" s="304">
        <f t="shared" ref="DC4:DD23" si="60">AI4</f>
        <v>0</v>
      </c>
      <c r="DD4" s="304">
        <f t="shared" si="60"/>
        <v>0</v>
      </c>
      <c r="DE4" s="304">
        <f t="shared" ref="DE4:DE23" si="61">AH4</f>
        <v>0</v>
      </c>
      <c r="DF4" s="304">
        <f t="shared" ref="DF4:DI23" si="62">AQ4</f>
        <v>0</v>
      </c>
      <c r="DG4" s="304">
        <f t="shared" si="62"/>
        <v>0</v>
      </c>
      <c r="DH4" s="304">
        <f t="shared" si="62"/>
        <v>0</v>
      </c>
      <c r="DI4" s="304">
        <f t="shared" si="62"/>
        <v>0</v>
      </c>
      <c r="DJ4" s="304">
        <f t="shared" ref="DJ4:DK23" si="63">AM4</f>
        <v>0</v>
      </c>
      <c r="DK4" s="305">
        <f t="shared" si="63"/>
        <v>0</v>
      </c>
      <c r="DL4" s="269">
        <f t="shared" si="5"/>
        <v>0</v>
      </c>
      <c r="DM4" s="305">
        <f t="shared" ref="DM4:DM23" si="64">(S4+T4*2+AI4*2+AJ4*4)</f>
        <v>0</v>
      </c>
      <c r="DN4" s="271">
        <f t="shared" ref="DN4:DN22" si="65">(M4+AH4*2)</f>
        <v>0</v>
      </c>
      <c r="DO4" s="306" t="e">
        <f t="shared" si="6"/>
        <v>#DIV/0!</v>
      </c>
      <c r="DP4" s="307" t="e">
        <f t="shared" si="7"/>
        <v>#DIV/0!</v>
      </c>
      <c r="DQ4" s="307" t="e">
        <f t="shared" si="8"/>
        <v>#DIV/0!</v>
      </c>
      <c r="DR4" s="307" t="e">
        <f t="shared" si="9"/>
        <v>#DIV/0!</v>
      </c>
      <c r="DS4" s="307" t="e">
        <f t="shared" si="10"/>
        <v>#DIV/0!</v>
      </c>
      <c r="DT4" s="308" t="e">
        <f t="shared" si="10"/>
        <v>#DIV/0!</v>
      </c>
      <c r="DU4" s="309" t="e">
        <f t="shared" si="11"/>
        <v>#DIV/0!</v>
      </c>
      <c r="DV4" s="307" t="e">
        <f t="shared" si="12"/>
        <v>#DIV/0!</v>
      </c>
      <c r="DW4" s="307" t="e">
        <f t="shared" si="13"/>
        <v>#DIV/0!</v>
      </c>
      <c r="DX4" s="310" t="e">
        <f t="shared" si="14"/>
        <v>#DIV/0!</v>
      </c>
      <c r="DY4" s="309" t="e">
        <f t="shared" si="15"/>
        <v>#DIV/0!</v>
      </c>
      <c r="DZ4" s="307" t="e">
        <f t="shared" si="16"/>
        <v>#DIV/0!</v>
      </c>
      <c r="EA4" s="310" t="e">
        <f t="shared" si="17"/>
        <v>#DIV/0!</v>
      </c>
      <c r="EB4" s="445" t="e">
        <f t="shared" ref="EB4:EB23" si="66">((AB4+AC4)*128/1000000000)/(B4/$B$1/1000000000)</f>
        <v>#DIV/0!</v>
      </c>
      <c r="EC4" s="414" t="e">
        <f t="shared" ref="EC4:EC23" si="67">BS4+EB4*3/2</f>
        <v>#DIV/0!</v>
      </c>
      <c r="ED4" s="414" t="e">
        <f t="shared" ref="ED4:ED23" si="68">BS4+BR4*3/2</f>
        <v>#DIV/0!</v>
      </c>
      <c r="EE4" s="307"/>
      <c r="EF4" s="307"/>
      <c r="EG4" s="310">
        <f t="shared" si="18"/>
        <v>0</v>
      </c>
      <c r="EH4" s="627" t="str">
        <f>IF(ISERROR((AF4+AG4)/(AB4+AC4+AF4+AG4)),"",(AF4+AG4)/(AB4+AC4+AF4+AG4))</f>
        <v/>
      </c>
      <c r="EI4" s="628"/>
      <c r="EJ4" s="629"/>
      <c r="EK4" s="630"/>
      <c r="EL4" s="629"/>
      <c r="EM4" s="630"/>
      <c r="EN4" s="629"/>
    </row>
    <row r="5" spans="1:144" s="209" customFormat="1" x14ac:dyDescent="0.15">
      <c r="A5" s="402" t="s">
        <v>356</v>
      </c>
      <c r="B5" s="403"/>
      <c r="C5" s="403"/>
      <c r="D5" s="403"/>
      <c r="E5" s="403"/>
      <c r="F5" s="403"/>
      <c r="G5" s="403"/>
      <c r="H5" s="403"/>
      <c r="I5" s="403"/>
      <c r="J5" s="403"/>
      <c r="K5" s="403"/>
      <c r="L5" s="403"/>
      <c r="M5" s="403"/>
      <c r="N5" s="403"/>
      <c r="O5" s="403"/>
      <c r="P5" s="403"/>
      <c r="Q5" s="403"/>
      <c r="R5" s="403"/>
      <c r="S5" s="403"/>
      <c r="T5" s="403"/>
      <c r="U5" s="403"/>
      <c r="V5" s="403"/>
      <c r="W5" s="403"/>
      <c r="X5" s="403"/>
      <c r="Y5" s="403"/>
      <c r="Z5" s="403"/>
      <c r="AA5" s="403"/>
      <c r="AB5" s="403"/>
      <c r="AC5" s="403"/>
      <c r="AD5" s="403"/>
      <c r="AE5" s="403"/>
      <c r="AF5" s="403"/>
      <c r="AG5" s="403"/>
      <c r="AH5" s="403"/>
      <c r="AI5" s="403"/>
      <c r="AJ5" s="403"/>
      <c r="AK5" s="403"/>
      <c r="AL5" s="403"/>
      <c r="AM5" s="403"/>
      <c r="AN5" s="403"/>
      <c r="AO5" s="403"/>
      <c r="AP5" s="403"/>
      <c r="AQ5" s="403"/>
      <c r="AR5" s="403"/>
      <c r="AS5" s="403"/>
      <c r="AT5" s="403"/>
      <c r="AU5" s="403"/>
      <c r="AV5" s="403"/>
      <c r="AW5" s="403"/>
      <c r="AX5" s="403"/>
      <c r="AY5" s="403"/>
      <c r="AZ5" s="403"/>
      <c r="BA5" s="403"/>
      <c r="BB5" s="403"/>
      <c r="BC5" s="403"/>
      <c r="BD5" s="403"/>
      <c r="BE5" s="403"/>
      <c r="BG5" s="277">
        <f t="shared" si="19"/>
        <v>0</v>
      </c>
      <c r="BH5" s="278" t="e">
        <f t="shared" si="20"/>
        <v>#DIV/0!</v>
      </c>
      <c r="BI5" s="279" t="e">
        <f t="shared" si="21"/>
        <v>#DIV/0!</v>
      </c>
      <c r="BJ5" s="279" t="e">
        <f t="shared" si="22"/>
        <v>#DIV/0!</v>
      </c>
      <c r="BK5" s="279" t="e">
        <f t="shared" si="23"/>
        <v>#DIV/0!</v>
      </c>
      <c r="BL5" s="279" t="e">
        <f t="shared" si="24"/>
        <v>#DIV/0!</v>
      </c>
      <c r="BM5" s="279" t="e">
        <f t="shared" si="0"/>
        <v>#DIV/0!</v>
      </c>
      <c r="BN5" s="280" t="e">
        <f t="shared" si="25"/>
        <v>#DIV/0!</v>
      </c>
      <c r="BO5" s="281" t="e">
        <f t="shared" si="26"/>
        <v>#DIV/0!</v>
      </c>
      <c r="BP5" s="282" t="e">
        <f t="shared" si="27"/>
        <v>#DIV/0!</v>
      </c>
      <c r="BQ5" s="281" t="e">
        <f t="shared" si="28"/>
        <v>#DIV/0!</v>
      </c>
      <c r="BR5" s="283" t="e">
        <f t="shared" si="29"/>
        <v>#DIV/0!</v>
      </c>
      <c r="BS5" s="284" t="e">
        <f t="shared" si="1"/>
        <v>#DIV/0!</v>
      </c>
      <c r="BT5" s="311" t="e">
        <f t="shared" si="2"/>
        <v>#DIV/0!</v>
      </c>
      <c r="BU5" s="312">
        <f t="shared" si="30"/>
        <v>0</v>
      </c>
      <c r="BV5" s="287" t="e">
        <f t="shared" si="3"/>
        <v>#DIV/0!</v>
      </c>
      <c r="BW5" s="288">
        <f t="shared" si="31"/>
        <v>0</v>
      </c>
      <c r="BX5" s="289" t="e">
        <f t="shared" si="32"/>
        <v>#DIV/0!</v>
      </c>
      <c r="BY5" s="281" t="e">
        <f t="shared" si="33"/>
        <v>#DIV/0!</v>
      </c>
      <c r="BZ5" s="290" t="e">
        <f t="shared" si="34"/>
        <v>#DIV/0!</v>
      </c>
      <c r="CA5" s="313" t="e">
        <f t="shared" si="35"/>
        <v>#DIV/0!</v>
      </c>
      <c r="CB5" s="304">
        <f t="shared" si="36"/>
        <v>0</v>
      </c>
      <c r="CC5" s="294" t="e">
        <f t="shared" si="37"/>
        <v>#DIV/0!</v>
      </c>
      <c r="CD5" s="300" t="e">
        <f t="shared" si="38"/>
        <v>#DIV/0!</v>
      </c>
      <c r="CE5" s="296" t="e">
        <f t="shared" si="39"/>
        <v>#DIV/0!</v>
      </c>
      <c r="CF5" s="292" t="e">
        <f t="shared" si="40"/>
        <v>#DIV/0!</v>
      </c>
      <c r="CG5" s="292" t="e">
        <f t="shared" si="41"/>
        <v>#DIV/0!</v>
      </c>
      <c r="CH5" s="294" t="e">
        <f t="shared" si="42"/>
        <v>#DIV/0!</v>
      </c>
      <c r="CI5" s="294" t="e">
        <f t="shared" si="43"/>
        <v>#DIV/0!</v>
      </c>
      <c r="CJ5" s="295" t="e">
        <f t="shared" si="44"/>
        <v>#DIV/0!</v>
      </c>
      <c r="CK5" s="296" t="e">
        <f t="shared" si="45"/>
        <v>#DIV/0!</v>
      </c>
      <c r="CL5" s="295" t="e">
        <f t="shared" si="46"/>
        <v>#DIV/0!</v>
      </c>
      <c r="CM5" s="297" t="e">
        <f t="shared" si="47"/>
        <v>#DIV/0!</v>
      </c>
      <c r="CN5" s="298" t="e">
        <f t="shared" si="48"/>
        <v>#DIV/0!</v>
      </c>
      <c r="CO5" s="299" t="e">
        <f t="shared" si="49"/>
        <v>#DIV/0!</v>
      </c>
      <c r="CP5" s="296" t="e">
        <f t="shared" si="50"/>
        <v>#DIV/0!</v>
      </c>
      <c r="CQ5" s="294" t="e">
        <f t="shared" si="51"/>
        <v>#DIV/0!</v>
      </c>
      <c r="CR5" s="294" t="e">
        <f t="shared" si="52"/>
        <v>#DIV/0!</v>
      </c>
      <c r="CS5" s="295" t="e">
        <f t="shared" si="4"/>
        <v>#DIV/0!</v>
      </c>
      <c r="CT5" s="300" t="e">
        <f t="shared" si="4"/>
        <v>#DIV/0!</v>
      </c>
      <c r="CU5" s="314" t="e">
        <f t="shared" si="53"/>
        <v>#DIV/0!</v>
      </c>
      <c r="CV5" s="315" t="e">
        <f t="shared" si="54"/>
        <v>#DIV/0!</v>
      </c>
      <c r="CW5" s="303">
        <f t="shared" si="55"/>
        <v>0</v>
      </c>
      <c r="CX5" s="304">
        <f t="shared" si="56"/>
        <v>0</v>
      </c>
      <c r="CY5" s="304">
        <f t="shared" si="57"/>
        <v>0</v>
      </c>
      <c r="CZ5" s="304">
        <f t="shared" si="58"/>
        <v>0</v>
      </c>
      <c r="DA5" s="304">
        <f t="shared" si="58"/>
        <v>0</v>
      </c>
      <c r="DB5" s="304">
        <f t="shared" si="59"/>
        <v>0</v>
      </c>
      <c r="DC5" s="304">
        <f t="shared" si="60"/>
        <v>0</v>
      </c>
      <c r="DD5" s="304">
        <f t="shared" si="60"/>
        <v>0</v>
      </c>
      <c r="DE5" s="304">
        <f t="shared" si="61"/>
        <v>0</v>
      </c>
      <c r="DF5" s="304">
        <f t="shared" si="62"/>
        <v>0</v>
      </c>
      <c r="DG5" s="304">
        <f t="shared" si="62"/>
        <v>0</v>
      </c>
      <c r="DH5" s="304">
        <f t="shared" si="62"/>
        <v>0</v>
      </c>
      <c r="DI5" s="304">
        <f t="shared" si="62"/>
        <v>0</v>
      </c>
      <c r="DJ5" s="304">
        <f t="shared" si="63"/>
        <v>0</v>
      </c>
      <c r="DK5" s="305">
        <f t="shared" si="63"/>
        <v>0</v>
      </c>
      <c r="DL5" s="269">
        <f t="shared" si="5"/>
        <v>0</v>
      </c>
      <c r="DM5" s="305">
        <f t="shared" si="64"/>
        <v>0</v>
      </c>
      <c r="DN5" s="271">
        <f t="shared" si="65"/>
        <v>0</v>
      </c>
      <c r="DO5" s="306" t="e">
        <f t="shared" si="6"/>
        <v>#DIV/0!</v>
      </c>
      <c r="DP5" s="307" t="e">
        <f t="shared" si="7"/>
        <v>#DIV/0!</v>
      </c>
      <c r="DQ5" s="307" t="e">
        <f t="shared" si="8"/>
        <v>#DIV/0!</v>
      </c>
      <c r="DR5" s="307" t="e">
        <f t="shared" si="9"/>
        <v>#DIV/0!</v>
      </c>
      <c r="DS5" s="307" t="e">
        <f t="shared" si="10"/>
        <v>#DIV/0!</v>
      </c>
      <c r="DT5" s="308" t="e">
        <f t="shared" si="10"/>
        <v>#DIV/0!</v>
      </c>
      <c r="DU5" s="309" t="e">
        <f t="shared" si="11"/>
        <v>#DIV/0!</v>
      </c>
      <c r="DV5" s="307" t="e">
        <f t="shared" si="12"/>
        <v>#DIV/0!</v>
      </c>
      <c r="DW5" s="307" t="e">
        <f t="shared" si="13"/>
        <v>#DIV/0!</v>
      </c>
      <c r="DX5" s="310" t="e">
        <f t="shared" si="14"/>
        <v>#DIV/0!</v>
      </c>
      <c r="DY5" s="309" t="e">
        <f t="shared" si="15"/>
        <v>#DIV/0!</v>
      </c>
      <c r="DZ5" s="307" t="e">
        <f t="shared" si="16"/>
        <v>#DIV/0!</v>
      </c>
      <c r="EA5" s="310" t="e">
        <f t="shared" si="17"/>
        <v>#DIV/0!</v>
      </c>
      <c r="EB5" s="445" t="e">
        <f t="shared" si="66"/>
        <v>#DIV/0!</v>
      </c>
      <c r="EC5" s="414" t="e">
        <f t="shared" si="67"/>
        <v>#DIV/0!</v>
      </c>
      <c r="ED5" s="414" t="e">
        <f t="shared" si="68"/>
        <v>#DIV/0!</v>
      </c>
      <c r="EE5" s="307"/>
      <c r="EF5" s="307"/>
      <c r="EG5" s="310">
        <f t="shared" si="18"/>
        <v>0</v>
      </c>
      <c r="EH5" s="627" t="str">
        <f>IF(ISERROR((AF5+AG5)/(AB5+AC5+AF5+AG5)),"",(AF5+AG5)/(AB5+AC5+AF5+AG5))</f>
        <v/>
      </c>
      <c r="EI5" s="628"/>
      <c r="EJ5" s="629"/>
      <c r="EK5" s="630"/>
      <c r="EL5" s="629"/>
      <c r="EM5" s="630"/>
      <c r="EN5" s="629"/>
    </row>
    <row r="6" spans="1:144" s="209" customFormat="1" x14ac:dyDescent="0.15">
      <c r="A6" s="402" t="s">
        <v>357</v>
      </c>
      <c r="B6" s="404"/>
      <c r="C6" s="404"/>
      <c r="D6" s="404"/>
      <c r="E6" s="404"/>
      <c r="F6" s="404"/>
      <c r="G6" s="404"/>
      <c r="H6" s="404"/>
      <c r="I6" s="404"/>
      <c r="J6" s="404"/>
      <c r="K6" s="404"/>
      <c r="L6" s="404"/>
      <c r="M6" s="404"/>
      <c r="N6" s="404"/>
      <c r="O6" s="404"/>
      <c r="P6" s="404"/>
      <c r="Q6" s="404"/>
      <c r="R6" s="404"/>
      <c r="S6" s="404"/>
      <c r="T6" s="404"/>
      <c r="U6" s="404"/>
      <c r="V6" s="404"/>
      <c r="W6" s="404"/>
      <c r="X6" s="404"/>
      <c r="Y6" s="404"/>
      <c r="Z6" s="404"/>
      <c r="AA6" s="404"/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404"/>
      <c r="AM6" s="404"/>
      <c r="AN6" s="404"/>
      <c r="AO6" s="404"/>
      <c r="AP6" s="404"/>
      <c r="AQ6" s="404"/>
      <c r="AR6" s="404"/>
      <c r="AS6" s="404"/>
      <c r="AT6" s="404"/>
      <c r="AU6" s="404"/>
      <c r="AV6" s="404"/>
      <c r="AW6" s="404"/>
      <c r="AX6" s="404"/>
      <c r="AY6" s="404"/>
      <c r="AZ6" s="404"/>
      <c r="BA6" s="404"/>
      <c r="BB6" s="404"/>
      <c r="BC6" s="404"/>
      <c r="BD6" s="404"/>
      <c r="BE6" s="404"/>
      <c r="BG6" s="277">
        <f t="shared" si="19"/>
        <v>0</v>
      </c>
      <c r="BH6" s="278" t="e">
        <f t="shared" si="20"/>
        <v>#DIV/0!</v>
      </c>
      <c r="BI6" s="279" t="e">
        <f t="shared" si="21"/>
        <v>#DIV/0!</v>
      </c>
      <c r="BJ6" s="279" t="e">
        <f t="shared" si="22"/>
        <v>#DIV/0!</v>
      </c>
      <c r="BK6" s="279" t="e">
        <f t="shared" si="23"/>
        <v>#DIV/0!</v>
      </c>
      <c r="BL6" s="279" t="e">
        <f t="shared" si="24"/>
        <v>#DIV/0!</v>
      </c>
      <c r="BM6" s="279" t="e">
        <f t="shared" si="0"/>
        <v>#DIV/0!</v>
      </c>
      <c r="BN6" s="280" t="e">
        <f t="shared" si="25"/>
        <v>#DIV/0!</v>
      </c>
      <c r="BO6" s="281" t="e">
        <f t="shared" si="26"/>
        <v>#DIV/0!</v>
      </c>
      <c r="BP6" s="282" t="e">
        <f t="shared" si="27"/>
        <v>#DIV/0!</v>
      </c>
      <c r="BQ6" s="281" t="e">
        <f t="shared" si="28"/>
        <v>#DIV/0!</v>
      </c>
      <c r="BR6" s="283" t="e">
        <f t="shared" si="29"/>
        <v>#DIV/0!</v>
      </c>
      <c r="BS6" s="284" t="e">
        <f t="shared" si="1"/>
        <v>#DIV/0!</v>
      </c>
      <c r="BT6" s="311" t="e">
        <f t="shared" si="2"/>
        <v>#DIV/0!</v>
      </c>
      <c r="BU6" s="312">
        <f t="shared" si="30"/>
        <v>0</v>
      </c>
      <c r="BV6" s="287" t="e">
        <f t="shared" si="3"/>
        <v>#DIV/0!</v>
      </c>
      <c r="BW6" s="288">
        <f t="shared" si="31"/>
        <v>0</v>
      </c>
      <c r="BX6" s="289" t="e">
        <f t="shared" si="32"/>
        <v>#DIV/0!</v>
      </c>
      <c r="BY6" s="281" t="e">
        <f t="shared" si="33"/>
        <v>#DIV/0!</v>
      </c>
      <c r="BZ6" s="290" t="e">
        <f t="shared" si="34"/>
        <v>#DIV/0!</v>
      </c>
      <c r="CA6" s="313" t="e">
        <f t="shared" si="35"/>
        <v>#DIV/0!</v>
      </c>
      <c r="CB6" s="304">
        <f t="shared" si="36"/>
        <v>0</v>
      </c>
      <c r="CC6" s="294" t="e">
        <f t="shared" si="37"/>
        <v>#DIV/0!</v>
      </c>
      <c r="CD6" s="300" t="e">
        <f t="shared" si="38"/>
        <v>#DIV/0!</v>
      </c>
      <c r="CE6" s="296" t="e">
        <f t="shared" si="39"/>
        <v>#DIV/0!</v>
      </c>
      <c r="CF6" s="292" t="e">
        <f t="shared" si="40"/>
        <v>#DIV/0!</v>
      </c>
      <c r="CG6" s="292" t="e">
        <f t="shared" si="41"/>
        <v>#DIV/0!</v>
      </c>
      <c r="CH6" s="294" t="e">
        <f t="shared" si="42"/>
        <v>#DIV/0!</v>
      </c>
      <c r="CI6" s="294" t="e">
        <f t="shared" si="43"/>
        <v>#DIV/0!</v>
      </c>
      <c r="CJ6" s="295" t="e">
        <f t="shared" si="44"/>
        <v>#DIV/0!</v>
      </c>
      <c r="CK6" s="296" t="e">
        <f t="shared" si="45"/>
        <v>#DIV/0!</v>
      </c>
      <c r="CL6" s="295" t="e">
        <f t="shared" si="46"/>
        <v>#DIV/0!</v>
      </c>
      <c r="CM6" s="297" t="e">
        <f t="shared" si="47"/>
        <v>#DIV/0!</v>
      </c>
      <c r="CN6" s="298" t="e">
        <f t="shared" si="48"/>
        <v>#DIV/0!</v>
      </c>
      <c r="CO6" s="299" t="e">
        <f t="shared" si="49"/>
        <v>#DIV/0!</v>
      </c>
      <c r="CP6" s="296" t="e">
        <f t="shared" si="50"/>
        <v>#DIV/0!</v>
      </c>
      <c r="CQ6" s="294" t="e">
        <f t="shared" si="51"/>
        <v>#DIV/0!</v>
      </c>
      <c r="CR6" s="294" t="e">
        <f t="shared" si="52"/>
        <v>#DIV/0!</v>
      </c>
      <c r="CS6" s="295" t="e">
        <f t="shared" si="4"/>
        <v>#DIV/0!</v>
      </c>
      <c r="CT6" s="300" t="e">
        <f t="shared" si="4"/>
        <v>#DIV/0!</v>
      </c>
      <c r="CU6" s="314" t="e">
        <f t="shared" si="53"/>
        <v>#DIV/0!</v>
      </c>
      <c r="CV6" s="315" t="e">
        <f t="shared" si="54"/>
        <v>#DIV/0!</v>
      </c>
      <c r="CW6" s="303">
        <f t="shared" si="55"/>
        <v>0</v>
      </c>
      <c r="CX6" s="304">
        <f t="shared" si="56"/>
        <v>0</v>
      </c>
      <c r="CY6" s="304">
        <f t="shared" si="57"/>
        <v>0</v>
      </c>
      <c r="CZ6" s="304">
        <f t="shared" si="58"/>
        <v>0</v>
      </c>
      <c r="DA6" s="304">
        <f t="shared" si="58"/>
        <v>0</v>
      </c>
      <c r="DB6" s="304">
        <f t="shared" si="59"/>
        <v>0</v>
      </c>
      <c r="DC6" s="304">
        <f t="shared" si="60"/>
        <v>0</v>
      </c>
      <c r="DD6" s="304">
        <f t="shared" si="60"/>
        <v>0</v>
      </c>
      <c r="DE6" s="304">
        <f t="shared" si="61"/>
        <v>0</v>
      </c>
      <c r="DF6" s="304">
        <f t="shared" si="62"/>
        <v>0</v>
      </c>
      <c r="DG6" s="304">
        <f t="shared" si="62"/>
        <v>0</v>
      </c>
      <c r="DH6" s="304">
        <f t="shared" si="62"/>
        <v>0</v>
      </c>
      <c r="DI6" s="304">
        <f t="shared" si="62"/>
        <v>0</v>
      </c>
      <c r="DJ6" s="304">
        <f t="shared" si="63"/>
        <v>0</v>
      </c>
      <c r="DK6" s="305">
        <f t="shared" si="63"/>
        <v>0</v>
      </c>
      <c r="DL6" s="269">
        <f t="shared" si="5"/>
        <v>0</v>
      </c>
      <c r="DM6" s="305">
        <f t="shared" si="64"/>
        <v>0</v>
      </c>
      <c r="DN6" s="271">
        <f t="shared" si="65"/>
        <v>0</v>
      </c>
      <c r="DO6" s="306" t="e">
        <f t="shared" si="6"/>
        <v>#DIV/0!</v>
      </c>
      <c r="DP6" s="307" t="e">
        <f t="shared" si="7"/>
        <v>#DIV/0!</v>
      </c>
      <c r="DQ6" s="307" t="e">
        <f t="shared" si="8"/>
        <v>#DIV/0!</v>
      </c>
      <c r="DR6" s="307" t="e">
        <f t="shared" si="9"/>
        <v>#DIV/0!</v>
      </c>
      <c r="DS6" s="307" t="e">
        <f t="shared" si="10"/>
        <v>#DIV/0!</v>
      </c>
      <c r="DT6" s="308" t="e">
        <f t="shared" si="10"/>
        <v>#DIV/0!</v>
      </c>
      <c r="DU6" s="309" t="e">
        <f t="shared" si="11"/>
        <v>#DIV/0!</v>
      </c>
      <c r="DV6" s="307" t="e">
        <f t="shared" si="12"/>
        <v>#DIV/0!</v>
      </c>
      <c r="DW6" s="307" t="e">
        <f t="shared" si="13"/>
        <v>#DIV/0!</v>
      </c>
      <c r="DX6" s="310" t="e">
        <f t="shared" si="14"/>
        <v>#DIV/0!</v>
      </c>
      <c r="DY6" s="309" t="e">
        <f t="shared" si="15"/>
        <v>#DIV/0!</v>
      </c>
      <c r="DZ6" s="307" t="e">
        <f t="shared" si="16"/>
        <v>#DIV/0!</v>
      </c>
      <c r="EA6" s="310" t="e">
        <f t="shared" si="17"/>
        <v>#DIV/0!</v>
      </c>
      <c r="EB6" s="445" t="e">
        <f t="shared" si="66"/>
        <v>#DIV/0!</v>
      </c>
      <c r="EC6" s="414" t="e">
        <f t="shared" si="67"/>
        <v>#DIV/0!</v>
      </c>
      <c r="ED6" s="414" t="e">
        <f t="shared" si="68"/>
        <v>#DIV/0!</v>
      </c>
      <c r="EE6" s="307"/>
      <c r="EF6" s="307"/>
      <c r="EG6" s="310">
        <f t="shared" si="18"/>
        <v>0</v>
      </c>
      <c r="EH6" s="627" t="str">
        <f t="shared" ref="EH6:EH22" si="69">IF(ISERROR((AF6+AG6)/(AB6+AC6+AF6+AG6)),"",(AF6+AG6)/(AB6+AC6+AF6+AG6))</f>
        <v/>
      </c>
      <c r="EI6" s="628"/>
      <c r="EJ6" s="629"/>
      <c r="EK6" s="630"/>
      <c r="EL6" s="629"/>
      <c r="EM6" s="630"/>
      <c r="EN6" s="629"/>
    </row>
    <row r="7" spans="1:144" s="209" customFormat="1" x14ac:dyDescent="0.15">
      <c r="A7" s="402" t="s">
        <v>358</v>
      </c>
      <c r="B7" s="404"/>
      <c r="C7" s="404"/>
      <c r="D7" s="404"/>
      <c r="E7" s="404"/>
      <c r="F7" s="404"/>
      <c r="G7" s="404"/>
      <c r="H7" s="404"/>
      <c r="I7" s="404"/>
      <c r="J7" s="404"/>
      <c r="K7" s="404"/>
      <c r="L7" s="404"/>
      <c r="M7" s="404"/>
      <c r="N7" s="404"/>
      <c r="O7" s="404"/>
      <c r="P7" s="404"/>
      <c r="Q7" s="404"/>
      <c r="R7" s="404"/>
      <c r="S7" s="404"/>
      <c r="T7" s="404"/>
      <c r="U7" s="404"/>
      <c r="V7" s="404"/>
      <c r="W7" s="404"/>
      <c r="X7" s="404"/>
      <c r="Y7" s="404"/>
      <c r="Z7" s="404"/>
      <c r="AA7" s="404"/>
      <c r="AB7" s="404"/>
      <c r="AC7" s="404"/>
      <c r="AD7" s="404"/>
      <c r="AE7" s="404"/>
      <c r="AF7" s="404"/>
      <c r="AG7" s="404"/>
      <c r="AH7" s="404"/>
      <c r="AI7" s="404"/>
      <c r="AJ7" s="404"/>
      <c r="AK7" s="404"/>
      <c r="AL7" s="404"/>
      <c r="AM7" s="404"/>
      <c r="AN7" s="404"/>
      <c r="AO7" s="404"/>
      <c r="AP7" s="404"/>
      <c r="AQ7" s="404"/>
      <c r="AR7" s="404"/>
      <c r="AS7" s="404"/>
      <c r="AT7" s="404"/>
      <c r="AU7" s="404"/>
      <c r="AV7" s="404"/>
      <c r="AW7" s="404"/>
      <c r="AX7" s="404"/>
      <c r="AY7" s="404"/>
      <c r="AZ7" s="404"/>
      <c r="BA7" s="404"/>
      <c r="BB7" s="404"/>
      <c r="BC7" s="404"/>
      <c r="BD7" s="404"/>
      <c r="BE7" s="404"/>
      <c r="BG7" s="277">
        <f t="shared" si="19"/>
        <v>0</v>
      </c>
      <c r="BH7" s="278" t="e">
        <f t="shared" si="20"/>
        <v>#DIV/0!</v>
      </c>
      <c r="BI7" s="279" t="e">
        <f t="shared" si="21"/>
        <v>#DIV/0!</v>
      </c>
      <c r="BJ7" s="279" t="e">
        <f t="shared" si="22"/>
        <v>#DIV/0!</v>
      </c>
      <c r="BK7" s="279" t="e">
        <f t="shared" si="23"/>
        <v>#DIV/0!</v>
      </c>
      <c r="BL7" s="279" t="e">
        <f t="shared" si="24"/>
        <v>#DIV/0!</v>
      </c>
      <c r="BM7" s="279" t="e">
        <f t="shared" si="0"/>
        <v>#DIV/0!</v>
      </c>
      <c r="BN7" s="280" t="e">
        <f t="shared" si="25"/>
        <v>#DIV/0!</v>
      </c>
      <c r="BO7" s="281" t="e">
        <f t="shared" si="26"/>
        <v>#DIV/0!</v>
      </c>
      <c r="BP7" s="282" t="e">
        <f t="shared" si="27"/>
        <v>#DIV/0!</v>
      </c>
      <c r="BQ7" s="281" t="e">
        <f t="shared" si="28"/>
        <v>#DIV/0!</v>
      </c>
      <c r="BR7" s="283" t="e">
        <f t="shared" si="29"/>
        <v>#DIV/0!</v>
      </c>
      <c r="BS7" s="284" t="e">
        <f t="shared" si="1"/>
        <v>#DIV/0!</v>
      </c>
      <c r="BT7" s="311" t="e">
        <f t="shared" si="2"/>
        <v>#DIV/0!</v>
      </c>
      <c r="BU7" s="312">
        <f t="shared" si="30"/>
        <v>0</v>
      </c>
      <c r="BV7" s="287" t="e">
        <f t="shared" si="3"/>
        <v>#DIV/0!</v>
      </c>
      <c r="BW7" s="288">
        <f t="shared" si="31"/>
        <v>0</v>
      </c>
      <c r="BX7" s="289" t="e">
        <f t="shared" si="32"/>
        <v>#DIV/0!</v>
      </c>
      <c r="BY7" s="281" t="e">
        <f t="shared" si="33"/>
        <v>#DIV/0!</v>
      </c>
      <c r="BZ7" s="290" t="e">
        <f t="shared" si="34"/>
        <v>#DIV/0!</v>
      </c>
      <c r="CA7" s="313" t="e">
        <f t="shared" si="35"/>
        <v>#DIV/0!</v>
      </c>
      <c r="CB7" s="304">
        <f t="shared" si="36"/>
        <v>0</v>
      </c>
      <c r="CC7" s="294" t="e">
        <f t="shared" si="37"/>
        <v>#DIV/0!</v>
      </c>
      <c r="CD7" s="300" t="e">
        <f t="shared" si="38"/>
        <v>#DIV/0!</v>
      </c>
      <c r="CE7" s="296" t="e">
        <f t="shared" si="39"/>
        <v>#DIV/0!</v>
      </c>
      <c r="CF7" s="292" t="e">
        <f t="shared" si="40"/>
        <v>#DIV/0!</v>
      </c>
      <c r="CG7" s="292" t="e">
        <f t="shared" si="41"/>
        <v>#DIV/0!</v>
      </c>
      <c r="CH7" s="294" t="e">
        <f t="shared" si="42"/>
        <v>#DIV/0!</v>
      </c>
      <c r="CI7" s="294" t="e">
        <f t="shared" si="43"/>
        <v>#DIV/0!</v>
      </c>
      <c r="CJ7" s="295" t="e">
        <f t="shared" si="44"/>
        <v>#DIV/0!</v>
      </c>
      <c r="CK7" s="296" t="e">
        <f t="shared" si="45"/>
        <v>#DIV/0!</v>
      </c>
      <c r="CL7" s="295" t="e">
        <f t="shared" si="46"/>
        <v>#DIV/0!</v>
      </c>
      <c r="CM7" s="297" t="e">
        <f t="shared" si="47"/>
        <v>#DIV/0!</v>
      </c>
      <c r="CN7" s="298" t="e">
        <f t="shared" si="48"/>
        <v>#DIV/0!</v>
      </c>
      <c r="CO7" s="299" t="e">
        <f t="shared" si="49"/>
        <v>#DIV/0!</v>
      </c>
      <c r="CP7" s="296" t="e">
        <f t="shared" si="50"/>
        <v>#DIV/0!</v>
      </c>
      <c r="CQ7" s="294" t="e">
        <f t="shared" si="51"/>
        <v>#DIV/0!</v>
      </c>
      <c r="CR7" s="294" t="e">
        <f t="shared" si="52"/>
        <v>#DIV/0!</v>
      </c>
      <c r="CS7" s="295" t="e">
        <f t="shared" si="4"/>
        <v>#DIV/0!</v>
      </c>
      <c r="CT7" s="300" t="e">
        <f t="shared" si="4"/>
        <v>#DIV/0!</v>
      </c>
      <c r="CU7" s="314" t="e">
        <f t="shared" si="53"/>
        <v>#DIV/0!</v>
      </c>
      <c r="CV7" s="315" t="e">
        <f t="shared" si="54"/>
        <v>#DIV/0!</v>
      </c>
      <c r="CW7" s="303">
        <f t="shared" si="55"/>
        <v>0</v>
      </c>
      <c r="CX7" s="304">
        <f t="shared" si="56"/>
        <v>0</v>
      </c>
      <c r="CY7" s="304">
        <f t="shared" si="57"/>
        <v>0</v>
      </c>
      <c r="CZ7" s="304">
        <f t="shared" si="58"/>
        <v>0</v>
      </c>
      <c r="DA7" s="304">
        <f t="shared" si="58"/>
        <v>0</v>
      </c>
      <c r="DB7" s="304">
        <f t="shared" si="59"/>
        <v>0</v>
      </c>
      <c r="DC7" s="304">
        <f t="shared" si="60"/>
        <v>0</v>
      </c>
      <c r="DD7" s="304">
        <f t="shared" si="60"/>
        <v>0</v>
      </c>
      <c r="DE7" s="304">
        <f t="shared" si="61"/>
        <v>0</v>
      </c>
      <c r="DF7" s="304">
        <f t="shared" si="62"/>
        <v>0</v>
      </c>
      <c r="DG7" s="304">
        <f t="shared" si="62"/>
        <v>0</v>
      </c>
      <c r="DH7" s="304">
        <f t="shared" si="62"/>
        <v>0</v>
      </c>
      <c r="DI7" s="304">
        <f t="shared" si="62"/>
        <v>0</v>
      </c>
      <c r="DJ7" s="304">
        <f t="shared" si="63"/>
        <v>0</v>
      </c>
      <c r="DK7" s="305">
        <f t="shared" si="63"/>
        <v>0</v>
      </c>
      <c r="DL7" s="269">
        <f t="shared" si="5"/>
        <v>0</v>
      </c>
      <c r="DM7" s="305">
        <f t="shared" si="64"/>
        <v>0</v>
      </c>
      <c r="DN7" s="271">
        <f t="shared" si="65"/>
        <v>0</v>
      </c>
      <c r="DO7" s="306" t="e">
        <f t="shared" si="6"/>
        <v>#DIV/0!</v>
      </c>
      <c r="DP7" s="307" t="e">
        <f t="shared" si="7"/>
        <v>#DIV/0!</v>
      </c>
      <c r="DQ7" s="307" t="e">
        <f t="shared" si="8"/>
        <v>#DIV/0!</v>
      </c>
      <c r="DR7" s="307" t="e">
        <f t="shared" si="9"/>
        <v>#DIV/0!</v>
      </c>
      <c r="DS7" s="307" t="e">
        <f t="shared" si="10"/>
        <v>#DIV/0!</v>
      </c>
      <c r="DT7" s="308" t="e">
        <f t="shared" si="10"/>
        <v>#DIV/0!</v>
      </c>
      <c r="DU7" s="309" t="e">
        <f t="shared" si="11"/>
        <v>#DIV/0!</v>
      </c>
      <c r="DV7" s="307" t="e">
        <f t="shared" si="12"/>
        <v>#DIV/0!</v>
      </c>
      <c r="DW7" s="307" t="e">
        <f t="shared" si="13"/>
        <v>#DIV/0!</v>
      </c>
      <c r="DX7" s="310" t="e">
        <f t="shared" si="14"/>
        <v>#DIV/0!</v>
      </c>
      <c r="DY7" s="309" t="e">
        <f t="shared" si="15"/>
        <v>#DIV/0!</v>
      </c>
      <c r="DZ7" s="307" t="e">
        <f t="shared" si="16"/>
        <v>#DIV/0!</v>
      </c>
      <c r="EA7" s="310" t="e">
        <f t="shared" si="17"/>
        <v>#DIV/0!</v>
      </c>
      <c r="EB7" s="445" t="e">
        <f t="shared" si="66"/>
        <v>#DIV/0!</v>
      </c>
      <c r="EC7" s="414" t="e">
        <f t="shared" si="67"/>
        <v>#DIV/0!</v>
      </c>
      <c r="ED7" s="414" t="e">
        <f t="shared" si="68"/>
        <v>#DIV/0!</v>
      </c>
      <c r="EE7" s="307"/>
      <c r="EF7" s="307"/>
      <c r="EG7" s="310">
        <f t="shared" si="18"/>
        <v>0</v>
      </c>
      <c r="EH7" s="627" t="str">
        <f t="shared" si="69"/>
        <v/>
      </c>
      <c r="EI7" s="628"/>
      <c r="EJ7" s="629"/>
      <c r="EK7" s="630"/>
      <c r="EL7" s="629"/>
      <c r="EM7" s="630"/>
      <c r="EN7" s="629"/>
    </row>
    <row r="8" spans="1:144" s="209" customFormat="1" x14ac:dyDescent="0.15">
      <c r="A8" s="402" t="s">
        <v>359</v>
      </c>
      <c r="B8" s="404"/>
      <c r="C8" s="404"/>
      <c r="D8" s="404"/>
      <c r="E8" s="404"/>
      <c r="F8" s="404"/>
      <c r="G8" s="404"/>
      <c r="H8" s="404"/>
      <c r="I8" s="404"/>
      <c r="J8" s="404"/>
      <c r="K8" s="404"/>
      <c r="L8" s="404"/>
      <c r="M8" s="404"/>
      <c r="N8" s="404"/>
      <c r="O8" s="404"/>
      <c r="P8" s="404"/>
      <c r="Q8" s="404"/>
      <c r="R8" s="404"/>
      <c r="S8" s="404"/>
      <c r="T8" s="404"/>
      <c r="U8" s="404"/>
      <c r="V8" s="404"/>
      <c r="W8" s="404"/>
      <c r="X8" s="404"/>
      <c r="Y8" s="404"/>
      <c r="Z8" s="404"/>
      <c r="AA8" s="404"/>
      <c r="AB8" s="404"/>
      <c r="AC8" s="404"/>
      <c r="AD8" s="404"/>
      <c r="AE8" s="404"/>
      <c r="AF8" s="404"/>
      <c r="AG8" s="404"/>
      <c r="AH8" s="404"/>
      <c r="AI8" s="404"/>
      <c r="AJ8" s="404"/>
      <c r="AK8" s="404"/>
      <c r="AL8" s="404"/>
      <c r="AM8" s="404"/>
      <c r="AN8" s="404"/>
      <c r="AO8" s="404"/>
      <c r="AP8" s="404"/>
      <c r="AQ8" s="404"/>
      <c r="AR8" s="404"/>
      <c r="AS8" s="404"/>
      <c r="AT8" s="404"/>
      <c r="AU8" s="404"/>
      <c r="AV8" s="404"/>
      <c r="AW8" s="404"/>
      <c r="AX8" s="404"/>
      <c r="AY8" s="404"/>
      <c r="AZ8" s="404"/>
      <c r="BA8" s="404"/>
      <c r="BB8" s="404"/>
      <c r="BC8" s="404"/>
      <c r="BD8" s="404"/>
      <c r="BE8" s="404"/>
      <c r="BG8" s="277">
        <f t="shared" si="19"/>
        <v>0</v>
      </c>
      <c r="BH8" s="278" t="e">
        <f t="shared" si="20"/>
        <v>#DIV/0!</v>
      </c>
      <c r="BI8" s="279" t="e">
        <f t="shared" si="21"/>
        <v>#DIV/0!</v>
      </c>
      <c r="BJ8" s="279" t="e">
        <f t="shared" si="22"/>
        <v>#DIV/0!</v>
      </c>
      <c r="BK8" s="279" t="e">
        <f t="shared" si="23"/>
        <v>#DIV/0!</v>
      </c>
      <c r="BL8" s="279" t="e">
        <f t="shared" si="24"/>
        <v>#DIV/0!</v>
      </c>
      <c r="BM8" s="279" t="e">
        <f t="shared" si="0"/>
        <v>#DIV/0!</v>
      </c>
      <c r="BN8" s="280" t="e">
        <f t="shared" si="25"/>
        <v>#DIV/0!</v>
      </c>
      <c r="BO8" s="281" t="e">
        <f t="shared" si="26"/>
        <v>#DIV/0!</v>
      </c>
      <c r="BP8" s="282" t="e">
        <f t="shared" si="27"/>
        <v>#DIV/0!</v>
      </c>
      <c r="BQ8" s="281" t="e">
        <f t="shared" si="28"/>
        <v>#DIV/0!</v>
      </c>
      <c r="BR8" s="283" t="e">
        <f t="shared" si="29"/>
        <v>#DIV/0!</v>
      </c>
      <c r="BS8" s="284" t="e">
        <f t="shared" si="1"/>
        <v>#DIV/0!</v>
      </c>
      <c r="BT8" s="311" t="e">
        <f t="shared" si="2"/>
        <v>#DIV/0!</v>
      </c>
      <c r="BU8" s="312">
        <f t="shared" si="30"/>
        <v>0</v>
      </c>
      <c r="BV8" s="287" t="e">
        <f t="shared" si="3"/>
        <v>#DIV/0!</v>
      </c>
      <c r="BW8" s="288">
        <f t="shared" si="31"/>
        <v>0</v>
      </c>
      <c r="BX8" s="289" t="e">
        <f t="shared" si="32"/>
        <v>#DIV/0!</v>
      </c>
      <c r="BY8" s="281" t="e">
        <f t="shared" si="33"/>
        <v>#DIV/0!</v>
      </c>
      <c r="BZ8" s="290" t="e">
        <f t="shared" si="34"/>
        <v>#DIV/0!</v>
      </c>
      <c r="CA8" s="313" t="e">
        <f t="shared" si="35"/>
        <v>#DIV/0!</v>
      </c>
      <c r="CB8" s="304">
        <f t="shared" si="36"/>
        <v>0</v>
      </c>
      <c r="CC8" s="294" t="e">
        <f t="shared" si="37"/>
        <v>#DIV/0!</v>
      </c>
      <c r="CD8" s="300" t="e">
        <f t="shared" si="38"/>
        <v>#DIV/0!</v>
      </c>
      <c r="CE8" s="296" t="e">
        <f t="shared" si="39"/>
        <v>#DIV/0!</v>
      </c>
      <c r="CF8" s="292" t="e">
        <f t="shared" si="40"/>
        <v>#DIV/0!</v>
      </c>
      <c r="CG8" s="292" t="e">
        <f t="shared" si="41"/>
        <v>#DIV/0!</v>
      </c>
      <c r="CH8" s="294" t="e">
        <f t="shared" si="42"/>
        <v>#DIV/0!</v>
      </c>
      <c r="CI8" s="294" t="e">
        <f t="shared" si="43"/>
        <v>#DIV/0!</v>
      </c>
      <c r="CJ8" s="295" t="e">
        <f t="shared" si="44"/>
        <v>#DIV/0!</v>
      </c>
      <c r="CK8" s="296" t="e">
        <f t="shared" si="45"/>
        <v>#DIV/0!</v>
      </c>
      <c r="CL8" s="295" t="e">
        <f t="shared" si="46"/>
        <v>#DIV/0!</v>
      </c>
      <c r="CM8" s="297" t="e">
        <f t="shared" si="47"/>
        <v>#DIV/0!</v>
      </c>
      <c r="CN8" s="298" t="e">
        <f t="shared" si="48"/>
        <v>#DIV/0!</v>
      </c>
      <c r="CO8" s="299" t="e">
        <f t="shared" si="49"/>
        <v>#DIV/0!</v>
      </c>
      <c r="CP8" s="296" t="e">
        <f t="shared" si="50"/>
        <v>#DIV/0!</v>
      </c>
      <c r="CQ8" s="294" t="e">
        <f t="shared" si="51"/>
        <v>#DIV/0!</v>
      </c>
      <c r="CR8" s="294" t="e">
        <f t="shared" si="52"/>
        <v>#DIV/0!</v>
      </c>
      <c r="CS8" s="295" t="e">
        <f t="shared" si="4"/>
        <v>#DIV/0!</v>
      </c>
      <c r="CT8" s="300" t="e">
        <f t="shared" si="4"/>
        <v>#DIV/0!</v>
      </c>
      <c r="CU8" s="314" t="e">
        <f t="shared" si="53"/>
        <v>#DIV/0!</v>
      </c>
      <c r="CV8" s="315" t="e">
        <f t="shared" si="54"/>
        <v>#DIV/0!</v>
      </c>
      <c r="CW8" s="303">
        <f t="shared" si="55"/>
        <v>0</v>
      </c>
      <c r="CX8" s="304">
        <f t="shared" si="56"/>
        <v>0</v>
      </c>
      <c r="CY8" s="304">
        <f t="shared" si="57"/>
        <v>0</v>
      </c>
      <c r="CZ8" s="304">
        <f t="shared" si="58"/>
        <v>0</v>
      </c>
      <c r="DA8" s="304">
        <f t="shared" si="58"/>
        <v>0</v>
      </c>
      <c r="DB8" s="304">
        <f t="shared" si="59"/>
        <v>0</v>
      </c>
      <c r="DC8" s="304">
        <f t="shared" si="60"/>
        <v>0</v>
      </c>
      <c r="DD8" s="304">
        <f t="shared" si="60"/>
        <v>0</v>
      </c>
      <c r="DE8" s="304">
        <f t="shared" si="61"/>
        <v>0</v>
      </c>
      <c r="DF8" s="304">
        <f t="shared" si="62"/>
        <v>0</v>
      </c>
      <c r="DG8" s="304">
        <f t="shared" si="62"/>
        <v>0</v>
      </c>
      <c r="DH8" s="304">
        <f t="shared" si="62"/>
        <v>0</v>
      </c>
      <c r="DI8" s="304">
        <f t="shared" si="62"/>
        <v>0</v>
      </c>
      <c r="DJ8" s="304">
        <f t="shared" si="63"/>
        <v>0</v>
      </c>
      <c r="DK8" s="305">
        <f t="shared" si="63"/>
        <v>0</v>
      </c>
      <c r="DL8" s="269">
        <f t="shared" si="5"/>
        <v>0</v>
      </c>
      <c r="DM8" s="305">
        <f t="shared" si="64"/>
        <v>0</v>
      </c>
      <c r="DN8" s="271">
        <f t="shared" si="65"/>
        <v>0</v>
      </c>
      <c r="DO8" s="306" t="e">
        <f t="shared" si="6"/>
        <v>#DIV/0!</v>
      </c>
      <c r="DP8" s="307" t="e">
        <f t="shared" si="7"/>
        <v>#DIV/0!</v>
      </c>
      <c r="DQ8" s="307" t="e">
        <f t="shared" si="8"/>
        <v>#DIV/0!</v>
      </c>
      <c r="DR8" s="307" t="e">
        <f t="shared" si="9"/>
        <v>#DIV/0!</v>
      </c>
      <c r="DS8" s="307" t="e">
        <f t="shared" si="10"/>
        <v>#DIV/0!</v>
      </c>
      <c r="DT8" s="308" t="e">
        <f t="shared" si="10"/>
        <v>#DIV/0!</v>
      </c>
      <c r="DU8" s="309" t="e">
        <f t="shared" si="11"/>
        <v>#DIV/0!</v>
      </c>
      <c r="DV8" s="307" t="e">
        <f t="shared" si="12"/>
        <v>#DIV/0!</v>
      </c>
      <c r="DW8" s="307" t="e">
        <f t="shared" si="13"/>
        <v>#DIV/0!</v>
      </c>
      <c r="DX8" s="310" t="e">
        <f t="shared" si="14"/>
        <v>#DIV/0!</v>
      </c>
      <c r="DY8" s="309" t="e">
        <f t="shared" si="15"/>
        <v>#DIV/0!</v>
      </c>
      <c r="DZ8" s="307" t="e">
        <f t="shared" si="16"/>
        <v>#DIV/0!</v>
      </c>
      <c r="EA8" s="310" t="e">
        <f t="shared" si="17"/>
        <v>#DIV/0!</v>
      </c>
      <c r="EB8" s="445" t="e">
        <f t="shared" si="66"/>
        <v>#DIV/0!</v>
      </c>
      <c r="EC8" s="414" t="e">
        <f t="shared" si="67"/>
        <v>#DIV/0!</v>
      </c>
      <c r="ED8" s="414" t="e">
        <f t="shared" si="68"/>
        <v>#DIV/0!</v>
      </c>
      <c r="EE8" s="307"/>
      <c r="EF8" s="307"/>
      <c r="EG8" s="310">
        <f t="shared" si="18"/>
        <v>0</v>
      </c>
      <c r="EH8" s="627" t="str">
        <f t="shared" si="69"/>
        <v/>
      </c>
      <c r="EI8" s="628"/>
      <c r="EJ8" s="629"/>
      <c r="EK8" s="630"/>
      <c r="EL8" s="629"/>
      <c r="EM8" s="630"/>
      <c r="EN8" s="629"/>
    </row>
    <row r="9" spans="1:144" s="209" customFormat="1" x14ac:dyDescent="0.15">
      <c r="A9" s="402" t="s">
        <v>360</v>
      </c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  <c r="R9" s="404"/>
      <c r="S9" s="404"/>
      <c r="T9" s="404"/>
      <c r="U9" s="404"/>
      <c r="V9" s="404"/>
      <c r="W9" s="404"/>
      <c r="X9" s="404"/>
      <c r="Y9" s="404"/>
      <c r="Z9" s="404"/>
      <c r="AA9" s="404"/>
      <c r="AB9" s="404"/>
      <c r="AC9" s="404"/>
      <c r="AD9" s="404"/>
      <c r="AE9" s="404"/>
      <c r="AF9" s="404"/>
      <c r="AG9" s="404"/>
      <c r="AH9" s="404"/>
      <c r="AI9" s="404"/>
      <c r="AJ9" s="404"/>
      <c r="AK9" s="404"/>
      <c r="AL9" s="404"/>
      <c r="AM9" s="404"/>
      <c r="AN9" s="404"/>
      <c r="AO9" s="404"/>
      <c r="AP9" s="404"/>
      <c r="AQ9" s="404"/>
      <c r="AR9" s="404"/>
      <c r="AS9" s="404"/>
      <c r="AT9" s="404"/>
      <c r="AU9" s="404"/>
      <c r="AV9" s="404"/>
      <c r="AW9" s="404"/>
      <c r="AX9" s="404"/>
      <c r="AY9" s="404"/>
      <c r="AZ9" s="404"/>
      <c r="BA9" s="404"/>
      <c r="BB9" s="404"/>
      <c r="BC9" s="404"/>
      <c r="BD9" s="404"/>
      <c r="BE9" s="404"/>
      <c r="BG9" s="277">
        <f t="shared" si="19"/>
        <v>0</v>
      </c>
      <c r="BH9" s="278" t="e">
        <f t="shared" si="20"/>
        <v>#DIV/0!</v>
      </c>
      <c r="BI9" s="279" t="e">
        <f t="shared" si="21"/>
        <v>#DIV/0!</v>
      </c>
      <c r="BJ9" s="279" t="e">
        <f t="shared" si="22"/>
        <v>#DIV/0!</v>
      </c>
      <c r="BK9" s="279" t="e">
        <f t="shared" si="23"/>
        <v>#DIV/0!</v>
      </c>
      <c r="BL9" s="279" t="e">
        <f t="shared" si="24"/>
        <v>#DIV/0!</v>
      </c>
      <c r="BM9" s="279" t="e">
        <f t="shared" si="0"/>
        <v>#DIV/0!</v>
      </c>
      <c r="BN9" s="280" t="e">
        <f t="shared" si="25"/>
        <v>#DIV/0!</v>
      </c>
      <c r="BO9" s="281" t="e">
        <f t="shared" si="26"/>
        <v>#DIV/0!</v>
      </c>
      <c r="BP9" s="282" t="e">
        <f t="shared" si="27"/>
        <v>#DIV/0!</v>
      </c>
      <c r="BQ9" s="281" t="e">
        <f t="shared" si="28"/>
        <v>#DIV/0!</v>
      </c>
      <c r="BR9" s="283" t="e">
        <f t="shared" si="29"/>
        <v>#DIV/0!</v>
      </c>
      <c r="BS9" s="284" t="e">
        <f t="shared" si="1"/>
        <v>#DIV/0!</v>
      </c>
      <c r="BT9" s="311" t="e">
        <f t="shared" si="2"/>
        <v>#DIV/0!</v>
      </c>
      <c r="BU9" s="312">
        <f t="shared" si="30"/>
        <v>0</v>
      </c>
      <c r="BV9" s="287" t="e">
        <f t="shared" si="3"/>
        <v>#DIV/0!</v>
      </c>
      <c r="BW9" s="288">
        <f t="shared" si="31"/>
        <v>0</v>
      </c>
      <c r="BX9" s="289" t="e">
        <f t="shared" si="32"/>
        <v>#DIV/0!</v>
      </c>
      <c r="BY9" s="281" t="e">
        <f t="shared" si="33"/>
        <v>#DIV/0!</v>
      </c>
      <c r="BZ9" s="290" t="e">
        <f t="shared" si="34"/>
        <v>#DIV/0!</v>
      </c>
      <c r="CA9" s="313" t="e">
        <f t="shared" si="35"/>
        <v>#DIV/0!</v>
      </c>
      <c r="CB9" s="304">
        <f t="shared" si="36"/>
        <v>0</v>
      </c>
      <c r="CC9" s="294" t="e">
        <f t="shared" si="37"/>
        <v>#DIV/0!</v>
      </c>
      <c r="CD9" s="300" t="e">
        <f t="shared" si="38"/>
        <v>#DIV/0!</v>
      </c>
      <c r="CE9" s="296" t="e">
        <f t="shared" si="39"/>
        <v>#DIV/0!</v>
      </c>
      <c r="CF9" s="292" t="e">
        <f t="shared" si="40"/>
        <v>#DIV/0!</v>
      </c>
      <c r="CG9" s="292" t="e">
        <f t="shared" si="41"/>
        <v>#DIV/0!</v>
      </c>
      <c r="CH9" s="294" t="e">
        <f t="shared" si="42"/>
        <v>#DIV/0!</v>
      </c>
      <c r="CI9" s="294" t="e">
        <f t="shared" si="43"/>
        <v>#DIV/0!</v>
      </c>
      <c r="CJ9" s="295" t="e">
        <f t="shared" si="44"/>
        <v>#DIV/0!</v>
      </c>
      <c r="CK9" s="296" t="e">
        <f t="shared" si="45"/>
        <v>#DIV/0!</v>
      </c>
      <c r="CL9" s="295" t="e">
        <f t="shared" si="46"/>
        <v>#DIV/0!</v>
      </c>
      <c r="CM9" s="297" t="e">
        <f t="shared" si="47"/>
        <v>#DIV/0!</v>
      </c>
      <c r="CN9" s="298" t="e">
        <f t="shared" si="48"/>
        <v>#DIV/0!</v>
      </c>
      <c r="CO9" s="299" t="e">
        <f t="shared" si="49"/>
        <v>#DIV/0!</v>
      </c>
      <c r="CP9" s="296" t="e">
        <f t="shared" si="50"/>
        <v>#DIV/0!</v>
      </c>
      <c r="CQ9" s="294" t="e">
        <f t="shared" si="51"/>
        <v>#DIV/0!</v>
      </c>
      <c r="CR9" s="294" t="e">
        <f t="shared" si="52"/>
        <v>#DIV/0!</v>
      </c>
      <c r="CS9" s="295" t="e">
        <f t="shared" si="4"/>
        <v>#DIV/0!</v>
      </c>
      <c r="CT9" s="300" t="e">
        <f t="shared" si="4"/>
        <v>#DIV/0!</v>
      </c>
      <c r="CU9" s="314" t="e">
        <f t="shared" si="53"/>
        <v>#DIV/0!</v>
      </c>
      <c r="CV9" s="315" t="e">
        <f t="shared" si="54"/>
        <v>#DIV/0!</v>
      </c>
      <c r="CW9" s="303">
        <f t="shared" si="55"/>
        <v>0</v>
      </c>
      <c r="CX9" s="304">
        <f t="shared" si="56"/>
        <v>0</v>
      </c>
      <c r="CY9" s="304">
        <f t="shared" si="57"/>
        <v>0</v>
      </c>
      <c r="CZ9" s="304">
        <f t="shared" si="58"/>
        <v>0</v>
      </c>
      <c r="DA9" s="304">
        <f t="shared" si="58"/>
        <v>0</v>
      </c>
      <c r="DB9" s="304">
        <f t="shared" si="59"/>
        <v>0</v>
      </c>
      <c r="DC9" s="304">
        <f t="shared" si="60"/>
        <v>0</v>
      </c>
      <c r="DD9" s="304">
        <f t="shared" si="60"/>
        <v>0</v>
      </c>
      <c r="DE9" s="304">
        <f t="shared" si="61"/>
        <v>0</v>
      </c>
      <c r="DF9" s="304">
        <f t="shared" si="62"/>
        <v>0</v>
      </c>
      <c r="DG9" s="304">
        <f t="shared" si="62"/>
        <v>0</v>
      </c>
      <c r="DH9" s="304">
        <f t="shared" si="62"/>
        <v>0</v>
      </c>
      <c r="DI9" s="304">
        <f t="shared" si="62"/>
        <v>0</v>
      </c>
      <c r="DJ9" s="304">
        <f t="shared" si="63"/>
        <v>0</v>
      </c>
      <c r="DK9" s="305">
        <f t="shared" si="63"/>
        <v>0</v>
      </c>
      <c r="DL9" s="269">
        <f t="shared" si="5"/>
        <v>0</v>
      </c>
      <c r="DM9" s="305">
        <f t="shared" si="64"/>
        <v>0</v>
      </c>
      <c r="DN9" s="271">
        <f t="shared" si="65"/>
        <v>0</v>
      </c>
      <c r="DO9" s="306" t="e">
        <f t="shared" si="6"/>
        <v>#DIV/0!</v>
      </c>
      <c r="DP9" s="307" t="e">
        <f t="shared" si="7"/>
        <v>#DIV/0!</v>
      </c>
      <c r="DQ9" s="307" t="e">
        <f t="shared" si="8"/>
        <v>#DIV/0!</v>
      </c>
      <c r="DR9" s="307" t="e">
        <f t="shared" si="9"/>
        <v>#DIV/0!</v>
      </c>
      <c r="DS9" s="307" t="e">
        <f t="shared" si="10"/>
        <v>#DIV/0!</v>
      </c>
      <c r="DT9" s="308" t="e">
        <f t="shared" si="10"/>
        <v>#DIV/0!</v>
      </c>
      <c r="DU9" s="309" t="e">
        <f t="shared" si="11"/>
        <v>#DIV/0!</v>
      </c>
      <c r="DV9" s="307" t="e">
        <f t="shared" si="12"/>
        <v>#DIV/0!</v>
      </c>
      <c r="DW9" s="307" t="e">
        <f t="shared" si="13"/>
        <v>#DIV/0!</v>
      </c>
      <c r="DX9" s="310" t="e">
        <f t="shared" si="14"/>
        <v>#DIV/0!</v>
      </c>
      <c r="DY9" s="309" t="e">
        <f t="shared" si="15"/>
        <v>#DIV/0!</v>
      </c>
      <c r="DZ9" s="307" t="e">
        <f t="shared" si="16"/>
        <v>#DIV/0!</v>
      </c>
      <c r="EA9" s="310" t="e">
        <f t="shared" si="17"/>
        <v>#DIV/0!</v>
      </c>
      <c r="EB9" s="445" t="e">
        <f t="shared" si="66"/>
        <v>#DIV/0!</v>
      </c>
      <c r="EC9" s="414" t="e">
        <f t="shared" si="67"/>
        <v>#DIV/0!</v>
      </c>
      <c r="ED9" s="414" t="e">
        <f t="shared" si="68"/>
        <v>#DIV/0!</v>
      </c>
      <c r="EE9" s="307"/>
      <c r="EF9" s="307"/>
      <c r="EG9" s="310">
        <f t="shared" si="18"/>
        <v>0</v>
      </c>
      <c r="EH9" s="627" t="str">
        <f t="shared" si="69"/>
        <v/>
      </c>
      <c r="EI9" s="628"/>
      <c r="EJ9" s="629"/>
      <c r="EK9" s="630"/>
      <c r="EL9" s="629"/>
      <c r="EM9" s="630"/>
      <c r="EN9" s="629"/>
    </row>
    <row r="10" spans="1:144" s="209" customFormat="1" x14ac:dyDescent="0.15">
      <c r="A10" s="402" t="s">
        <v>361</v>
      </c>
      <c r="B10" s="404"/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  <c r="P10" s="404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404"/>
      <c r="AD10" s="404"/>
      <c r="AE10" s="404"/>
      <c r="AF10" s="404"/>
      <c r="AG10" s="404"/>
      <c r="AH10" s="404"/>
      <c r="AI10" s="404"/>
      <c r="AJ10" s="404"/>
      <c r="AK10" s="404"/>
      <c r="AL10" s="404"/>
      <c r="AM10" s="404"/>
      <c r="AN10" s="404"/>
      <c r="AO10" s="404"/>
      <c r="AP10" s="404"/>
      <c r="AQ10" s="404"/>
      <c r="AR10" s="404"/>
      <c r="AS10" s="404"/>
      <c r="AT10" s="404"/>
      <c r="AU10" s="404"/>
      <c r="AV10" s="404"/>
      <c r="AW10" s="404"/>
      <c r="AX10" s="404"/>
      <c r="AY10" s="404"/>
      <c r="AZ10" s="404"/>
      <c r="BA10" s="404"/>
      <c r="BB10" s="404"/>
      <c r="BC10" s="404"/>
      <c r="BD10" s="404"/>
      <c r="BE10" s="404"/>
      <c r="BG10" s="277">
        <f t="shared" si="19"/>
        <v>0</v>
      </c>
      <c r="BH10" s="278" t="e">
        <f t="shared" si="20"/>
        <v>#DIV/0!</v>
      </c>
      <c r="BI10" s="279" t="e">
        <f t="shared" si="21"/>
        <v>#DIV/0!</v>
      </c>
      <c r="BJ10" s="279" t="e">
        <f t="shared" si="22"/>
        <v>#DIV/0!</v>
      </c>
      <c r="BK10" s="279" t="e">
        <f t="shared" si="23"/>
        <v>#DIV/0!</v>
      </c>
      <c r="BL10" s="279" t="e">
        <f t="shared" si="24"/>
        <v>#DIV/0!</v>
      </c>
      <c r="BM10" s="279" t="e">
        <f t="shared" si="0"/>
        <v>#DIV/0!</v>
      </c>
      <c r="BN10" s="280" t="e">
        <f t="shared" si="25"/>
        <v>#DIV/0!</v>
      </c>
      <c r="BO10" s="281" t="e">
        <f t="shared" si="26"/>
        <v>#DIV/0!</v>
      </c>
      <c r="BP10" s="282" t="e">
        <f t="shared" si="27"/>
        <v>#DIV/0!</v>
      </c>
      <c r="BQ10" s="281" t="e">
        <f t="shared" si="28"/>
        <v>#DIV/0!</v>
      </c>
      <c r="BR10" s="283" t="e">
        <f t="shared" si="29"/>
        <v>#DIV/0!</v>
      </c>
      <c r="BS10" s="284" t="e">
        <f t="shared" si="1"/>
        <v>#DIV/0!</v>
      </c>
      <c r="BT10" s="311" t="e">
        <f t="shared" si="2"/>
        <v>#DIV/0!</v>
      </c>
      <c r="BU10" s="312">
        <f t="shared" si="30"/>
        <v>0</v>
      </c>
      <c r="BV10" s="287" t="e">
        <f t="shared" si="3"/>
        <v>#DIV/0!</v>
      </c>
      <c r="BW10" s="288">
        <f t="shared" si="31"/>
        <v>0</v>
      </c>
      <c r="BX10" s="289" t="e">
        <f t="shared" si="32"/>
        <v>#DIV/0!</v>
      </c>
      <c r="BY10" s="281" t="e">
        <f t="shared" si="33"/>
        <v>#DIV/0!</v>
      </c>
      <c r="BZ10" s="290" t="e">
        <f t="shared" si="34"/>
        <v>#DIV/0!</v>
      </c>
      <c r="CA10" s="313" t="e">
        <f t="shared" si="35"/>
        <v>#DIV/0!</v>
      </c>
      <c r="CB10" s="304">
        <f t="shared" si="36"/>
        <v>0</v>
      </c>
      <c r="CC10" s="294" t="e">
        <f t="shared" si="37"/>
        <v>#DIV/0!</v>
      </c>
      <c r="CD10" s="300" t="e">
        <f t="shared" si="38"/>
        <v>#DIV/0!</v>
      </c>
      <c r="CE10" s="296" t="e">
        <f t="shared" si="39"/>
        <v>#DIV/0!</v>
      </c>
      <c r="CF10" s="292" t="e">
        <f t="shared" si="40"/>
        <v>#DIV/0!</v>
      </c>
      <c r="CG10" s="292" t="e">
        <f t="shared" si="41"/>
        <v>#DIV/0!</v>
      </c>
      <c r="CH10" s="294" t="e">
        <f t="shared" si="42"/>
        <v>#DIV/0!</v>
      </c>
      <c r="CI10" s="294" t="e">
        <f t="shared" si="43"/>
        <v>#DIV/0!</v>
      </c>
      <c r="CJ10" s="295" t="e">
        <f t="shared" si="44"/>
        <v>#DIV/0!</v>
      </c>
      <c r="CK10" s="296" t="e">
        <f t="shared" si="45"/>
        <v>#DIV/0!</v>
      </c>
      <c r="CL10" s="295" t="e">
        <f t="shared" si="46"/>
        <v>#DIV/0!</v>
      </c>
      <c r="CM10" s="297" t="e">
        <f t="shared" si="47"/>
        <v>#DIV/0!</v>
      </c>
      <c r="CN10" s="298" t="e">
        <f t="shared" si="48"/>
        <v>#DIV/0!</v>
      </c>
      <c r="CO10" s="299" t="e">
        <f t="shared" si="49"/>
        <v>#DIV/0!</v>
      </c>
      <c r="CP10" s="296" t="e">
        <f t="shared" si="50"/>
        <v>#DIV/0!</v>
      </c>
      <c r="CQ10" s="294" t="e">
        <f t="shared" si="51"/>
        <v>#DIV/0!</v>
      </c>
      <c r="CR10" s="294" t="e">
        <f t="shared" si="52"/>
        <v>#DIV/0!</v>
      </c>
      <c r="CS10" s="295" t="e">
        <f t="shared" si="4"/>
        <v>#DIV/0!</v>
      </c>
      <c r="CT10" s="300" t="e">
        <f t="shared" si="4"/>
        <v>#DIV/0!</v>
      </c>
      <c r="CU10" s="314" t="e">
        <f t="shared" si="53"/>
        <v>#DIV/0!</v>
      </c>
      <c r="CV10" s="315" t="e">
        <f t="shared" si="54"/>
        <v>#DIV/0!</v>
      </c>
      <c r="CW10" s="303">
        <f t="shared" si="55"/>
        <v>0</v>
      </c>
      <c r="CX10" s="304">
        <f t="shared" si="56"/>
        <v>0</v>
      </c>
      <c r="CY10" s="304">
        <f t="shared" si="57"/>
        <v>0</v>
      </c>
      <c r="CZ10" s="304">
        <f t="shared" si="58"/>
        <v>0</v>
      </c>
      <c r="DA10" s="304">
        <f t="shared" si="58"/>
        <v>0</v>
      </c>
      <c r="DB10" s="304">
        <f t="shared" si="59"/>
        <v>0</v>
      </c>
      <c r="DC10" s="304">
        <f t="shared" si="60"/>
        <v>0</v>
      </c>
      <c r="DD10" s="304">
        <f t="shared" si="60"/>
        <v>0</v>
      </c>
      <c r="DE10" s="304">
        <f t="shared" si="61"/>
        <v>0</v>
      </c>
      <c r="DF10" s="304">
        <f t="shared" si="62"/>
        <v>0</v>
      </c>
      <c r="DG10" s="304">
        <f t="shared" si="62"/>
        <v>0</v>
      </c>
      <c r="DH10" s="304">
        <f t="shared" si="62"/>
        <v>0</v>
      </c>
      <c r="DI10" s="304">
        <f t="shared" si="62"/>
        <v>0</v>
      </c>
      <c r="DJ10" s="304">
        <f t="shared" si="63"/>
        <v>0</v>
      </c>
      <c r="DK10" s="305">
        <f t="shared" si="63"/>
        <v>0</v>
      </c>
      <c r="DL10" s="269">
        <f t="shared" si="5"/>
        <v>0</v>
      </c>
      <c r="DM10" s="305">
        <f t="shared" si="64"/>
        <v>0</v>
      </c>
      <c r="DN10" s="271">
        <f t="shared" si="65"/>
        <v>0</v>
      </c>
      <c r="DO10" s="306" t="e">
        <f t="shared" si="6"/>
        <v>#DIV/0!</v>
      </c>
      <c r="DP10" s="307" t="e">
        <f t="shared" si="7"/>
        <v>#DIV/0!</v>
      </c>
      <c r="DQ10" s="307" t="e">
        <f t="shared" si="8"/>
        <v>#DIV/0!</v>
      </c>
      <c r="DR10" s="307" t="e">
        <f t="shared" si="9"/>
        <v>#DIV/0!</v>
      </c>
      <c r="DS10" s="307" t="e">
        <f t="shared" si="10"/>
        <v>#DIV/0!</v>
      </c>
      <c r="DT10" s="308" t="e">
        <f t="shared" si="10"/>
        <v>#DIV/0!</v>
      </c>
      <c r="DU10" s="309" t="e">
        <f t="shared" si="11"/>
        <v>#DIV/0!</v>
      </c>
      <c r="DV10" s="307" t="e">
        <f t="shared" si="12"/>
        <v>#DIV/0!</v>
      </c>
      <c r="DW10" s="307" t="e">
        <f t="shared" si="13"/>
        <v>#DIV/0!</v>
      </c>
      <c r="DX10" s="310" t="e">
        <f t="shared" si="14"/>
        <v>#DIV/0!</v>
      </c>
      <c r="DY10" s="309" t="e">
        <f t="shared" si="15"/>
        <v>#DIV/0!</v>
      </c>
      <c r="DZ10" s="307" t="e">
        <f t="shared" si="16"/>
        <v>#DIV/0!</v>
      </c>
      <c r="EA10" s="310" t="e">
        <f t="shared" si="17"/>
        <v>#DIV/0!</v>
      </c>
      <c r="EB10" s="445" t="e">
        <f>((AB10+AC10)*128/1000000000)/(B10/$B$1/1000000000)</f>
        <v>#DIV/0!</v>
      </c>
      <c r="EC10" s="414" t="e">
        <f t="shared" si="67"/>
        <v>#DIV/0!</v>
      </c>
      <c r="ED10" s="414" t="e">
        <f t="shared" si="68"/>
        <v>#DIV/0!</v>
      </c>
      <c r="EE10" s="307"/>
      <c r="EF10" s="307"/>
      <c r="EG10" s="310">
        <f t="shared" si="18"/>
        <v>0</v>
      </c>
      <c r="EH10" s="627" t="str">
        <f t="shared" si="69"/>
        <v/>
      </c>
      <c r="EI10" s="628"/>
      <c r="EJ10" s="629"/>
      <c r="EK10" s="630"/>
      <c r="EL10" s="629"/>
      <c r="EM10" s="630"/>
      <c r="EN10" s="629"/>
    </row>
    <row r="11" spans="1:144" s="209" customFormat="1" x14ac:dyDescent="0.15">
      <c r="A11" s="402" t="s">
        <v>362</v>
      </c>
      <c r="B11" s="404"/>
      <c r="C11" s="404"/>
      <c r="D11" s="404"/>
      <c r="E11" s="404"/>
      <c r="F11" s="404"/>
      <c r="G11" s="404"/>
      <c r="H11" s="404"/>
      <c r="I11" s="404"/>
      <c r="J11" s="404"/>
      <c r="K11" s="404"/>
      <c r="L11" s="404"/>
      <c r="M11" s="404"/>
      <c r="N11" s="404"/>
      <c r="O11" s="404"/>
      <c r="P11" s="404"/>
      <c r="Q11" s="404"/>
      <c r="R11" s="404"/>
      <c r="S11" s="404"/>
      <c r="T11" s="404"/>
      <c r="U11" s="404"/>
      <c r="V11" s="404"/>
      <c r="W11" s="404"/>
      <c r="X11" s="404"/>
      <c r="Y11" s="404"/>
      <c r="Z11" s="404"/>
      <c r="AA11" s="404"/>
      <c r="AB11" s="404"/>
      <c r="AC11" s="404"/>
      <c r="AD11" s="404"/>
      <c r="AE11" s="404"/>
      <c r="AF11" s="404"/>
      <c r="AG11" s="404"/>
      <c r="AH11" s="404"/>
      <c r="AI11" s="404"/>
      <c r="AJ11" s="404"/>
      <c r="AK11" s="404"/>
      <c r="AL11" s="404"/>
      <c r="AM11" s="404"/>
      <c r="AN11" s="404"/>
      <c r="AO11" s="404"/>
      <c r="AP11" s="404"/>
      <c r="AQ11" s="404"/>
      <c r="AR11" s="404"/>
      <c r="AS11" s="404"/>
      <c r="AT11" s="404"/>
      <c r="AU11" s="404"/>
      <c r="AV11" s="404"/>
      <c r="AW11" s="404"/>
      <c r="AX11" s="404"/>
      <c r="AY11" s="404"/>
      <c r="AZ11" s="404"/>
      <c r="BA11" s="404"/>
      <c r="BB11" s="404"/>
      <c r="BC11" s="404"/>
      <c r="BD11" s="404"/>
      <c r="BE11" s="404"/>
      <c r="BG11" s="277">
        <f t="shared" si="19"/>
        <v>0</v>
      </c>
      <c r="BH11" s="278" t="e">
        <f t="shared" si="20"/>
        <v>#DIV/0!</v>
      </c>
      <c r="BI11" s="279" t="e">
        <f t="shared" si="21"/>
        <v>#DIV/0!</v>
      </c>
      <c r="BJ11" s="279" t="e">
        <f t="shared" si="22"/>
        <v>#DIV/0!</v>
      </c>
      <c r="BK11" s="279" t="e">
        <f t="shared" si="23"/>
        <v>#DIV/0!</v>
      </c>
      <c r="BL11" s="279" t="e">
        <f t="shared" si="24"/>
        <v>#DIV/0!</v>
      </c>
      <c r="BM11" s="279" t="e">
        <f t="shared" si="0"/>
        <v>#DIV/0!</v>
      </c>
      <c r="BN11" s="280" t="e">
        <f t="shared" si="25"/>
        <v>#DIV/0!</v>
      </c>
      <c r="BO11" s="281" t="e">
        <f t="shared" si="26"/>
        <v>#DIV/0!</v>
      </c>
      <c r="BP11" s="282" t="e">
        <f t="shared" si="27"/>
        <v>#DIV/0!</v>
      </c>
      <c r="BQ11" s="281" t="e">
        <f t="shared" si="28"/>
        <v>#DIV/0!</v>
      </c>
      <c r="BR11" s="283" t="e">
        <f t="shared" si="29"/>
        <v>#DIV/0!</v>
      </c>
      <c r="BS11" s="284" t="e">
        <f t="shared" si="1"/>
        <v>#DIV/0!</v>
      </c>
      <c r="BT11" s="311" t="e">
        <f t="shared" si="2"/>
        <v>#DIV/0!</v>
      </c>
      <c r="BU11" s="312">
        <f t="shared" si="30"/>
        <v>0</v>
      </c>
      <c r="BV11" s="287" t="e">
        <f t="shared" si="3"/>
        <v>#DIV/0!</v>
      </c>
      <c r="BW11" s="288">
        <f t="shared" si="31"/>
        <v>0</v>
      </c>
      <c r="BX11" s="289" t="e">
        <f t="shared" si="32"/>
        <v>#DIV/0!</v>
      </c>
      <c r="BY11" s="281" t="e">
        <f t="shared" si="33"/>
        <v>#DIV/0!</v>
      </c>
      <c r="BZ11" s="290" t="e">
        <f t="shared" si="34"/>
        <v>#DIV/0!</v>
      </c>
      <c r="CA11" s="313" t="e">
        <f t="shared" si="35"/>
        <v>#DIV/0!</v>
      </c>
      <c r="CB11" s="304">
        <f t="shared" si="36"/>
        <v>0</v>
      </c>
      <c r="CC11" s="294" t="e">
        <f t="shared" si="37"/>
        <v>#DIV/0!</v>
      </c>
      <c r="CD11" s="300" t="e">
        <f t="shared" si="38"/>
        <v>#DIV/0!</v>
      </c>
      <c r="CE11" s="296" t="e">
        <f t="shared" si="39"/>
        <v>#DIV/0!</v>
      </c>
      <c r="CF11" s="292" t="e">
        <f t="shared" si="40"/>
        <v>#DIV/0!</v>
      </c>
      <c r="CG11" s="292" t="e">
        <f t="shared" si="41"/>
        <v>#DIV/0!</v>
      </c>
      <c r="CH11" s="294" t="e">
        <f t="shared" si="42"/>
        <v>#DIV/0!</v>
      </c>
      <c r="CI11" s="294" t="e">
        <f t="shared" si="43"/>
        <v>#DIV/0!</v>
      </c>
      <c r="CJ11" s="295" t="e">
        <f t="shared" si="44"/>
        <v>#DIV/0!</v>
      </c>
      <c r="CK11" s="296" t="e">
        <f t="shared" si="45"/>
        <v>#DIV/0!</v>
      </c>
      <c r="CL11" s="295" t="e">
        <f t="shared" si="46"/>
        <v>#DIV/0!</v>
      </c>
      <c r="CM11" s="297" t="e">
        <f t="shared" si="47"/>
        <v>#DIV/0!</v>
      </c>
      <c r="CN11" s="298" t="e">
        <f t="shared" si="48"/>
        <v>#DIV/0!</v>
      </c>
      <c r="CO11" s="299" t="e">
        <f t="shared" si="49"/>
        <v>#DIV/0!</v>
      </c>
      <c r="CP11" s="296" t="e">
        <f t="shared" si="50"/>
        <v>#DIV/0!</v>
      </c>
      <c r="CQ11" s="294" t="e">
        <f t="shared" si="51"/>
        <v>#DIV/0!</v>
      </c>
      <c r="CR11" s="294" t="e">
        <f t="shared" si="52"/>
        <v>#DIV/0!</v>
      </c>
      <c r="CS11" s="295" t="e">
        <f t="shared" ref="CS11:CS23" si="70">AM11/(AM11+AS11)</f>
        <v>#DIV/0!</v>
      </c>
      <c r="CT11" s="300" t="e">
        <f t="shared" ref="CT11:CT23" si="71">AN11/(AN11+AT11)</f>
        <v>#DIV/0!</v>
      </c>
      <c r="CU11" s="314" t="e">
        <f t="shared" si="53"/>
        <v>#DIV/0!</v>
      </c>
      <c r="CV11" s="315" t="e">
        <f t="shared" si="54"/>
        <v>#DIV/0!</v>
      </c>
      <c r="CW11" s="303">
        <f t="shared" si="55"/>
        <v>0</v>
      </c>
      <c r="CX11" s="304">
        <f t="shared" si="56"/>
        <v>0</v>
      </c>
      <c r="CY11" s="304">
        <f t="shared" si="57"/>
        <v>0</v>
      </c>
      <c r="CZ11" s="304">
        <f t="shared" si="58"/>
        <v>0</v>
      </c>
      <c r="DA11" s="304">
        <f t="shared" si="58"/>
        <v>0</v>
      </c>
      <c r="DB11" s="304">
        <f t="shared" si="59"/>
        <v>0</v>
      </c>
      <c r="DC11" s="304">
        <f t="shared" si="60"/>
        <v>0</v>
      </c>
      <c r="DD11" s="304">
        <f t="shared" si="60"/>
        <v>0</v>
      </c>
      <c r="DE11" s="304">
        <f t="shared" si="61"/>
        <v>0</v>
      </c>
      <c r="DF11" s="304">
        <f t="shared" si="62"/>
        <v>0</v>
      </c>
      <c r="DG11" s="304">
        <f t="shared" si="62"/>
        <v>0</v>
      </c>
      <c r="DH11" s="304">
        <f t="shared" si="62"/>
        <v>0</v>
      </c>
      <c r="DI11" s="304">
        <f t="shared" si="62"/>
        <v>0</v>
      </c>
      <c r="DJ11" s="304">
        <f t="shared" si="63"/>
        <v>0</v>
      </c>
      <c r="DK11" s="305">
        <f t="shared" si="63"/>
        <v>0</v>
      </c>
      <c r="DL11" s="269">
        <f t="shared" si="5"/>
        <v>0</v>
      </c>
      <c r="DM11" s="305">
        <f t="shared" si="64"/>
        <v>0</v>
      </c>
      <c r="DN11" s="271">
        <f t="shared" si="65"/>
        <v>0</v>
      </c>
      <c r="DO11" s="306" t="e">
        <f t="shared" ref="DO11:DO22" si="72">DJ11/$CW11</f>
        <v>#DIV/0!</v>
      </c>
      <c r="DP11" s="307" t="e">
        <f t="shared" ref="DP11:DP22" si="73">DH11/$CW11</f>
        <v>#DIV/0!</v>
      </c>
      <c r="DQ11" s="307" t="e">
        <f t="shared" ref="DQ11:DQ22" si="74">DK11/$CW11</f>
        <v>#DIV/0!</v>
      </c>
      <c r="DR11" s="307" t="e">
        <f t="shared" ref="DR11:DR22" si="75">DI11/$CW11</f>
        <v>#DIV/0!</v>
      </c>
      <c r="DS11" s="307" t="e">
        <f t="shared" ref="DS11:DS22" si="76">DF11/$CW11</f>
        <v>#DIV/0!</v>
      </c>
      <c r="DT11" s="308" t="e">
        <f t="shared" ref="DT11:DT22" si="77">DG11/$CW11</f>
        <v>#DIV/0!</v>
      </c>
      <c r="DU11" s="309" t="e">
        <f t="shared" ref="DU11:DU22" si="78">DC11/$CW11</f>
        <v>#DIV/0!</v>
      </c>
      <c r="DV11" s="307" t="e">
        <f t="shared" ref="DV11:DV22" si="79">CZ11/$CW11</f>
        <v>#DIV/0!</v>
      </c>
      <c r="DW11" s="307" t="e">
        <f t="shared" ref="DW11:DW22" si="80">DD11/$CW11</f>
        <v>#DIV/0!</v>
      </c>
      <c r="DX11" s="310" t="e">
        <f t="shared" ref="DX11:DX22" si="81">DA11/$CW11</f>
        <v>#DIV/0!</v>
      </c>
      <c r="DY11" s="309" t="e">
        <f t="shared" ref="DY11:DY22" si="82">CY11/$CW11</f>
        <v>#DIV/0!</v>
      </c>
      <c r="DZ11" s="307" t="e">
        <f t="shared" ref="DZ11:DZ22" si="83">CX11/$CW11</f>
        <v>#DIV/0!</v>
      </c>
      <c r="EA11" s="310" t="e">
        <f t="shared" ref="EA11:EA22" si="84">DL11/$CW11</f>
        <v>#DIV/0!</v>
      </c>
      <c r="EB11" s="445" t="e">
        <f t="shared" si="66"/>
        <v>#DIV/0!</v>
      </c>
      <c r="EC11" s="414" t="e">
        <f t="shared" si="67"/>
        <v>#DIV/0!</v>
      </c>
      <c r="ED11" s="414" t="e">
        <f t="shared" si="68"/>
        <v>#DIV/0!</v>
      </c>
      <c r="EE11" s="307"/>
      <c r="EF11" s="307"/>
      <c r="EG11" s="310">
        <f t="shared" si="18"/>
        <v>0</v>
      </c>
      <c r="EH11" s="627" t="str">
        <f t="shared" si="69"/>
        <v/>
      </c>
      <c r="EI11" s="628"/>
      <c r="EJ11" s="629"/>
      <c r="EK11" s="630"/>
      <c r="EL11" s="629"/>
      <c r="EM11" s="630"/>
      <c r="EN11" s="629"/>
    </row>
    <row r="12" spans="1:144" s="209" customFormat="1" x14ac:dyDescent="0.15">
      <c r="A12" s="402" t="s">
        <v>363</v>
      </c>
      <c r="B12" s="404"/>
      <c r="C12" s="404"/>
      <c r="D12" s="404"/>
      <c r="E12" s="404"/>
      <c r="F12" s="404"/>
      <c r="G12" s="404"/>
      <c r="H12" s="404"/>
      <c r="I12" s="404"/>
      <c r="J12" s="404"/>
      <c r="K12" s="404"/>
      <c r="L12" s="404"/>
      <c r="M12" s="404"/>
      <c r="N12" s="404"/>
      <c r="O12" s="404"/>
      <c r="P12" s="404"/>
      <c r="Q12" s="404"/>
      <c r="R12" s="404"/>
      <c r="S12" s="404"/>
      <c r="T12" s="404"/>
      <c r="U12" s="404"/>
      <c r="V12" s="404"/>
      <c r="W12" s="404"/>
      <c r="X12" s="404"/>
      <c r="Y12" s="404"/>
      <c r="Z12" s="404"/>
      <c r="AA12" s="404"/>
      <c r="AB12" s="404"/>
      <c r="AC12" s="404"/>
      <c r="AD12" s="404"/>
      <c r="AE12" s="404"/>
      <c r="AF12" s="404"/>
      <c r="AG12" s="404"/>
      <c r="AH12" s="404"/>
      <c r="AI12" s="404"/>
      <c r="AJ12" s="404"/>
      <c r="AK12" s="404"/>
      <c r="AL12" s="404"/>
      <c r="AM12" s="404"/>
      <c r="AN12" s="404"/>
      <c r="AO12" s="404"/>
      <c r="AP12" s="404"/>
      <c r="AQ12" s="404"/>
      <c r="AR12" s="404"/>
      <c r="AS12" s="404"/>
      <c r="AT12" s="404"/>
      <c r="AU12" s="404"/>
      <c r="AV12" s="404"/>
      <c r="AW12" s="404"/>
      <c r="AX12" s="404"/>
      <c r="AY12" s="404"/>
      <c r="AZ12" s="404"/>
      <c r="BA12" s="404"/>
      <c r="BB12" s="404"/>
      <c r="BC12" s="404"/>
      <c r="BD12" s="404"/>
      <c r="BE12" s="404"/>
      <c r="BG12" s="277">
        <f t="shared" si="19"/>
        <v>0</v>
      </c>
      <c r="BH12" s="278" t="e">
        <f t="shared" si="20"/>
        <v>#DIV/0!</v>
      </c>
      <c r="BI12" s="279" t="e">
        <f t="shared" si="21"/>
        <v>#DIV/0!</v>
      </c>
      <c r="BJ12" s="279" t="e">
        <f t="shared" si="22"/>
        <v>#DIV/0!</v>
      </c>
      <c r="BK12" s="279" t="e">
        <f t="shared" si="23"/>
        <v>#DIV/0!</v>
      </c>
      <c r="BL12" s="279" t="e">
        <f t="shared" si="24"/>
        <v>#DIV/0!</v>
      </c>
      <c r="BM12" s="279" t="e">
        <f t="shared" si="0"/>
        <v>#DIV/0!</v>
      </c>
      <c r="BN12" s="280" t="e">
        <f t="shared" si="25"/>
        <v>#DIV/0!</v>
      </c>
      <c r="BO12" s="281" t="e">
        <f t="shared" si="26"/>
        <v>#DIV/0!</v>
      </c>
      <c r="BP12" s="282" t="e">
        <f t="shared" si="27"/>
        <v>#DIV/0!</v>
      </c>
      <c r="BQ12" s="281" t="e">
        <f t="shared" si="28"/>
        <v>#DIV/0!</v>
      </c>
      <c r="BR12" s="283" t="e">
        <f t="shared" si="29"/>
        <v>#DIV/0!</v>
      </c>
      <c r="BS12" s="284" t="e">
        <f t="shared" si="1"/>
        <v>#DIV/0!</v>
      </c>
      <c r="BT12" s="311" t="e">
        <f t="shared" si="2"/>
        <v>#DIV/0!</v>
      </c>
      <c r="BU12" s="312">
        <f t="shared" si="30"/>
        <v>0</v>
      </c>
      <c r="BV12" s="287" t="e">
        <f t="shared" si="3"/>
        <v>#DIV/0!</v>
      </c>
      <c r="BW12" s="288">
        <f t="shared" si="31"/>
        <v>0</v>
      </c>
      <c r="BX12" s="289" t="e">
        <f t="shared" si="32"/>
        <v>#DIV/0!</v>
      </c>
      <c r="BY12" s="281" t="e">
        <f t="shared" si="33"/>
        <v>#DIV/0!</v>
      </c>
      <c r="BZ12" s="290" t="e">
        <f t="shared" si="34"/>
        <v>#DIV/0!</v>
      </c>
      <c r="CA12" s="313" t="e">
        <f t="shared" si="35"/>
        <v>#DIV/0!</v>
      </c>
      <c r="CB12" s="304">
        <f t="shared" si="36"/>
        <v>0</v>
      </c>
      <c r="CC12" s="294" t="e">
        <f t="shared" si="37"/>
        <v>#DIV/0!</v>
      </c>
      <c r="CD12" s="300" t="e">
        <f t="shared" si="38"/>
        <v>#DIV/0!</v>
      </c>
      <c r="CE12" s="296" t="e">
        <f t="shared" si="39"/>
        <v>#DIV/0!</v>
      </c>
      <c r="CF12" s="292" t="e">
        <f t="shared" si="40"/>
        <v>#DIV/0!</v>
      </c>
      <c r="CG12" s="292" t="e">
        <f t="shared" si="41"/>
        <v>#DIV/0!</v>
      </c>
      <c r="CH12" s="294" t="e">
        <f t="shared" si="42"/>
        <v>#DIV/0!</v>
      </c>
      <c r="CI12" s="294" t="e">
        <f t="shared" si="43"/>
        <v>#DIV/0!</v>
      </c>
      <c r="CJ12" s="295" t="e">
        <f t="shared" si="44"/>
        <v>#DIV/0!</v>
      </c>
      <c r="CK12" s="296" t="e">
        <f t="shared" si="45"/>
        <v>#DIV/0!</v>
      </c>
      <c r="CL12" s="295" t="e">
        <f t="shared" si="46"/>
        <v>#DIV/0!</v>
      </c>
      <c r="CM12" s="297" t="e">
        <f t="shared" si="47"/>
        <v>#DIV/0!</v>
      </c>
      <c r="CN12" s="298" t="e">
        <f t="shared" si="48"/>
        <v>#DIV/0!</v>
      </c>
      <c r="CO12" s="299" t="e">
        <f t="shared" si="49"/>
        <v>#DIV/0!</v>
      </c>
      <c r="CP12" s="296" t="e">
        <f t="shared" si="50"/>
        <v>#DIV/0!</v>
      </c>
      <c r="CQ12" s="294" t="e">
        <f t="shared" si="51"/>
        <v>#DIV/0!</v>
      </c>
      <c r="CR12" s="294" t="e">
        <f t="shared" si="52"/>
        <v>#DIV/0!</v>
      </c>
      <c r="CS12" s="295" t="e">
        <f t="shared" si="70"/>
        <v>#DIV/0!</v>
      </c>
      <c r="CT12" s="300" t="e">
        <f t="shared" si="71"/>
        <v>#DIV/0!</v>
      </c>
      <c r="CU12" s="314" t="e">
        <f t="shared" si="53"/>
        <v>#DIV/0!</v>
      </c>
      <c r="CV12" s="315" t="e">
        <f t="shared" si="54"/>
        <v>#DIV/0!</v>
      </c>
      <c r="CW12" s="303">
        <f t="shared" si="55"/>
        <v>0</v>
      </c>
      <c r="CX12" s="304">
        <f t="shared" si="56"/>
        <v>0</v>
      </c>
      <c r="CY12" s="304">
        <f t="shared" si="57"/>
        <v>0</v>
      </c>
      <c r="CZ12" s="304">
        <f t="shared" si="58"/>
        <v>0</v>
      </c>
      <c r="DA12" s="304">
        <f t="shared" si="58"/>
        <v>0</v>
      </c>
      <c r="DB12" s="304">
        <f t="shared" si="59"/>
        <v>0</v>
      </c>
      <c r="DC12" s="304">
        <f t="shared" si="60"/>
        <v>0</v>
      </c>
      <c r="DD12" s="304">
        <f t="shared" si="60"/>
        <v>0</v>
      </c>
      <c r="DE12" s="304">
        <f t="shared" si="61"/>
        <v>0</v>
      </c>
      <c r="DF12" s="304">
        <f t="shared" si="62"/>
        <v>0</v>
      </c>
      <c r="DG12" s="304">
        <f t="shared" si="62"/>
        <v>0</v>
      </c>
      <c r="DH12" s="304">
        <f t="shared" si="62"/>
        <v>0</v>
      </c>
      <c r="DI12" s="304">
        <f t="shared" si="62"/>
        <v>0</v>
      </c>
      <c r="DJ12" s="304">
        <f t="shared" si="63"/>
        <v>0</v>
      </c>
      <c r="DK12" s="305">
        <f t="shared" si="63"/>
        <v>0</v>
      </c>
      <c r="DL12" s="269">
        <f t="shared" si="5"/>
        <v>0</v>
      </c>
      <c r="DM12" s="305">
        <f t="shared" si="64"/>
        <v>0</v>
      </c>
      <c r="DN12" s="271">
        <f t="shared" si="65"/>
        <v>0</v>
      </c>
      <c r="DO12" s="306" t="e">
        <f t="shared" si="72"/>
        <v>#DIV/0!</v>
      </c>
      <c r="DP12" s="307" t="e">
        <f t="shared" si="73"/>
        <v>#DIV/0!</v>
      </c>
      <c r="DQ12" s="307" t="e">
        <f t="shared" si="74"/>
        <v>#DIV/0!</v>
      </c>
      <c r="DR12" s="307" t="e">
        <f t="shared" si="75"/>
        <v>#DIV/0!</v>
      </c>
      <c r="DS12" s="307" t="e">
        <f t="shared" si="76"/>
        <v>#DIV/0!</v>
      </c>
      <c r="DT12" s="308" t="e">
        <f t="shared" si="77"/>
        <v>#DIV/0!</v>
      </c>
      <c r="DU12" s="309" t="e">
        <f t="shared" si="78"/>
        <v>#DIV/0!</v>
      </c>
      <c r="DV12" s="307" t="e">
        <f t="shared" si="79"/>
        <v>#DIV/0!</v>
      </c>
      <c r="DW12" s="307" t="e">
        <f t="shared" si="80"/>
        <v>#DIV/0!</v>
      </c>
      <c r="DX12" s="310" t="e">
        <f t="shared" si="81"/>
        <v>#DIV/0!</v>
      </c>
      <c r="DY12" s="309" t="e">
        <f t="shared" si="82"/>
        <v>#DIV/0!</v>
      </c>
      <c r="DZ12" s="307" t="e">
        <f t="shared" si="83"/>
        <v>#DIV/0!</v>
      </c>
      <c r="EA12" s="310" t="e">
        <f t="shared" si="84"/>
        <v>#DIV/0!</v>
      </c>
      <c r="EB12" s="445" t="e">
        <f t="shared" si="66"/>
        <v>#DIV/0!</v>
      </c>
      <c r="EC12" s="414" t="e">
        <f t="shared" si="67"/>
        <v>#DIV/0!</v>
      </c>
      <c r="ED12" s="414" t="e">
        <f t="shared" si="68"/>
        <v>#DIV/0!</v>
      </c>
      <c r="EE12" s="307"/>
      <c r="EF12" s="307"/>
      <c r="EG12" s="310">
        <f t="shared" si="18"/>
        <v>0</v>
      </c>
      <c r="EH12" s="627" t="str">
        <f t="shared" si="69"/>
        <v/>
      </c>
      <c r="EI12" s="628"/>
      <c r="EJ12" s="629"/>
      <c r="EK12" s="630"/>
      <c r="EL12" s="629"/>
      <c r="EM12" s="630"/>
      <c r="EN12" s="629"/>
    </row>
    <row r="13" spans="1:144" s="209" customFormat="1" x14ac:dyDescent="0.15">
      <c r="A13" s="402" t="s">
        <v>364</v>
      </c>
      <c r="B13" s="404"/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404"/>
      <c r="Q13" s="404"/>
      <c r="R13" s="404"/>
      <c r="S13" s="404"/>
      <c r="T13" s="404"/>
      <c r="U13" s="404"/>
      <c r="V13" s="404"/>
      <c r="W13" s="404"/>
      <c r="X13" s="404"/>
      <c r="Y13" s="404"/>
      <c r="Z13" s="404"/>
      <c r="AA13" s="404"/>
      <c r="AB13" s="404"/>
      <c r="AC13" s="404"/>
      <c r="AD13" s="404"/>
      <c r="AE13" s="404"/>
      <c r="AF13" s="404"/>
      <c r="AG13" s="404"/>
      <c r="AH13" s="404"/>
      <c r="AI13" s="404"/>
      <c r="AJ13" s="404"/>
      <c r="AK13" s="404"/>
      <c r="AL13" s="404"/>
      <c r="AM13" s="404"/>
      <c r="AN13" s="404"/>
      <c r="AO13" s="404"/>
      <c r="AP13" s="404"/>
      <c r="AQ13" s="404"/>
      <c r="AR13" s="404"/>
      <c r="AS13" s="404"/>
      <c r="AT13" s="404"/>
      <c r="AU13" s="404"/>
      <c r="AV13" s="404"/>
      <c r="AW13" s="404"/>
      <c r="AX13" s="404"/>
      <c r="AY13" s="404"/>
      <c r="AZ13" s="404"/>
      <c r="BA13" s="404"/>
      <c r="BB13" s="404"/>
      <c r="BC13" s="404"/>
      <c r="BD13" s="404"/>
      <c r="BE13" s="404"/>
      <c r="BG13" s="277">
        <f t="shared" si="19"/>
        <v>0</v>
      </c>
      <c r="BH13" s="278" t="e">
        <f t="shared" si="20"/>
        <v>#DIV/0!</v>
      </c>
      <c r="BI13" s="279" t="e">
        <f t="shared" si="21"/>
        <v>#DIV/0!</v>
      </c>
      <c r="BJ13" s="279" t="e">
        <f t="shared" si="22"/>
        <v>#DIV/0!</v>
      </c>
      <c r="BK13" s="279" t="e">
        <f t="shared" si="23"/>
        <v>#DIV/0!</v>
      </c>
      <c r="BL13" s="279" t="e">
        <f t="shared" si="24"/>
        <v>#DIV/0!</v>
      </c>
      <c r="BM13" s="279" t="e">
        <f t="shared" si="0"/>
        <v>#DIV/0!</v>
      </c>
      <c r="BN13" s="280" t="e">
        <f t="shared" si="25"/>
        <v>#DIV/0!</v>
      </c>
      <c r="BO13" s="281" t="e">
        <f t="shared" si="26"/>
        <v>#DIV/0!</v>
      </c>
      <c r="BP13" s="282" t="e">
        <f t="shared" si="27"/>
        <v>#DIV/0!</v>
      </c>
      <c r="BQ13" s="281" t="e">
        <f t="shared" si="28"/>
        <v>#DIV/0!</v>
      </c>
      <c r="BR13" s="283" t="e">
        <f t="shared" si="29"/>
        <v>#DIV/0!</v>
      </c>
      <c r="BS13" s="284" t="e">
        <f t="shared" si="1"/>
        <v>#DIV/0!</v>
      </c>
      <c r="BT13" s="311" t="e">
        <f t="shared" si="2"/>
        <v>#DIV/0!</v>
      </c>
      <c r="BU13" s="312">
        <f t="shared" si="30"/>
        <v>0</v>
      </c>
      <c r="BV13" s="287" t="e">
        <f t="shared" si="3"/>
        <v>#DIV/0!</v>
      </c>
      <c r="BW13" s="288">
        <f t="shared" si="31"/>
        <v>0</v>
      </c>
      <c r="BX13" s="289" t="e">
        <f t="shared" si="32"/>
        <v>#DIV/0!</v>
      </c>
      <c r="BY13" s="281" t="e">
        <f t="shared" si="33"/>
        <v>#DIV/0!</v>
      </c>
      <c r="BZ13" s="290" t="e">
        <f t="shared" si="34"/>
        <v>#DIV/0!</v>
      </c>
      <c r="CA13" s="313" t="e">
        <f t="shared" si="35"/>
        <v>#DIV/0!</v>
      </c>
      <c r="CB13" s="304">
        <f t="shared" si="36"/>
        <v>0</v>
      </c>
      <c r="CC13" s="294" t="e">
        <f t="shared" si="37"/>
        <v>#DIV/0!</v>
      </c>
      <c r="CD13" s="300" t="e">
        <f t="shared" si="38"/>
        <v>#DIV/0!</v>
      </c>
      <c r="CE13" s="296" t="e">
        <f t="shared" si="39"/>
        <v>#DIV/0!</v>
      </c>
      <c r="CF13" s="292" t="e">
        <f t="shared" si="40"/>
        <v>#DIV/0!</v>
      </c>
      <c r="CG13" s="292" t="e">
        <f t="shared" si="41"/>
        <v>#DIV/0!</v>
      </c>
      <c r="CH13" s="294" t="e">
        <f t="shared" si="42"/>
        <v>#DIV/0!</v>
      </c>
      <c r="CI13" s="294" t="e">
        <f t="shared" si="43"/>
        <v>#DIV/0!</v>
      </c>
      <c r="CJ13" s="295" t="e">
        <f t="shared" si="44"/>
        <v>#DIV/0!</v>
      </c>
      <c r="CK13" s="296" t="e">
        <f t="shared" si="45"/>
        <v>#DIV/0!</v>
      </c>
      <c r="CL13" s="295" t="e">
        <f t="shared" si="46"/>
        <v>#DIV/0!</v>
      </c>
      <c r="CM13" s="297" t="e">
        <f t="shared" si="47"/>
        <v>#DIV/0!</v>
      </c>
      <c r="CN13" s="298" t="e">
        <f t="shared" si="48"/>
        <v>#DIV/0!</v>
      </c>
      <c r="CO13" s="299" t="e">
        <f t="shared" si="49"/>
        <v>#DIV/0!</v>
      </c>
      <c r="CP13" s="296" t="e">
        <f t="shared" si="50"/>
        <v>#DIV/0!</v>
      </c>
      <c r="CQ13" s="294" t="e">
        <f t="shared" si="51"/>
        <v>#DIV/0!</v>
      </c>
      <c r="CR13" s="294" t="e">
        <f t="shared" si="52"/>
        <v>#DIV/0!</v>
      </c>
      <c r="CS13" s="295" t="e">
        <f t="shared" si="70"/>
        <v>#DIV/0!</v>
      </c>
      <c r="CT13" s="300" t="e">
        <f t="shared" si="71"/>
        <v>#DIV/0!</v>
      </c>
      <c r="CU13" s="314" t="e">
        <f t="shared" si="53"/>
        <v>#DIV/0!</v>
      </c>
      <c r="CV13" s="315" t="e">
        <f t="shared" si="54"/>
        <v>#DIV/0!</v>
      </c>
      <c r="CW13" s="303">
        <f t="shared" si="55"/>
        <v>0</v>
      </c>
      <c r="CX13" s="304">
        <f t="shared" si="56"/>
        <v>0</v>
      </c>
      <c r="CY13" s="304">
        <f t="shared" si="57"/>
        <v>0</v>
      </c>
      <c r="CZ13" s="304">
        <f t="shared" si="58"/>
        <v>0</v>
      </c>
      <c r="DA13" s="304">
        <f t="shared" si="58"/>
        <v>0</v>
      </c>
      <c r="DB13" s="304">
        <f t="shared" si="59"/>
        <v>0</v>
      </c>
      <c r="DC13" s="304">
        <f t="shared" si="60"/>
        <v>0</v>
      </c>
      <c r="DD13" s="304">
        <f t="shared" si="60"/>
        <v>0</v>
      </c>
      <c r="DE13" s="304">
        <f t="shared" si="61"/>
        <v>0</v>
      </c>
      <c r="DF13" s="304">
        <f t="shared" si="62"/>
        <v>0</v>
      </c>
      <c r="DG13" s="304">
        <f t="shared" si="62"/>
        <v>0</v>
      </c>
      <c r="DH13" s="304">
        <f t="shared" si="62"/>
        <v>0</v>
      </c>
      <c r="DI13" s="304">
        <f t="shared" si="62"/>
        <v>0</v>
      </c>
      <c r="DJ13" s="304">
        <f t="shared" si="63"/>
        <v>0</v>
      </c>
      <c r="DK13" s="305">
        <f t="shared" si="63"/>
        <v>0</v>
      </c>
      <c r="DL13" s="269">
        <f t="shared" si="5"/>
        <v>0</v>
      </c>
      <c r="DM13" s="305">
        <f t="shared" si="64"/>
        <v>0</v>
      </c>
      <c r="DN13" s="271">
        <f t="shared" si="65"/>
        <v>0</v>
      </c>
      <c r="DO13" s="306" t="e">
        <f t="shared" si="72"/>
        <v>#DIV/0!</v>
      </c>
      <c r="DP13" s="307" t="e">
        <f t="shared" si="73"/>
        <v>#DIV/0!</v>
      </c>
      <c r="DQ13" s="307" t="e">
        <f t="shared" si="74"/>
        <v>#DIV/0!</v>
      </c>
      <c r="DR13" s="307" t="e">
        <f t="shared" si="75"/>
        <v>#DIV/0!</v>
      </c>
      <c r="DS13" s="307" t="e">
        <f t="shared" si="76"/>
        <v>#DIV/0!</v>
      </c>
      <c r="DT13" s="308" t="e">
        <f t="shared" si="77"/>
        <v>#DIV/0!</v>
      </c>
      <c r="DU13" s="309" t="e">
        <f t="shared" si="78"/>
        <v>#DIV/0!</v>
      </c>
      <c r="DV13" s="307" t="e">
        <f t="shared" si="79"/>
        <v>#DIV/0!</v>
      </c>
      <c r="DW13" s="307" t="e">
        <f t="shared" si="80"/>
        <v>#DIV/0!</v>
      </c>
      <c r="DX13" s="310" t="e">
        <f t="shared" si="81"/>
        <v>#DIV/0!</v>
      </c>
      <c r="DY13" s="309" t="e">
        <f t="shared" si="82"/>
        <v>#DIV/0!</v>
      </c>
      <c r="DZ13" s="307" t="e">
        <f t="shared" si="83"/>
        <v>#DIV/0!</v>
      </c>
      <c r="EA13" s="310" t="e">
        <f t="shared" si="84"/>
        <v>#DIV/0!</v>
      </c>
      <c r="EB13" s="445" t="e">
        <f t="shared" si="66"/>
        <v>#DIV/0!</v>
      </c>
      <c r="EC13" s="414" t="e">
        <f t="shared" si="67"/>
        <v>#DIV/0!</v>
      </c>
      <c r="ED13" s="414" t="e">
        <f t="shared" si="68"/>
        <v>#DIV/0!</v>
      </c>
      <c r="EE13" s="307"/>
      <c r="EF13" s="307"/>
      <c r="EG13" s="310">
        <f t="shared" si="18"/>
        <v>0</v>
      </c>
      <c r="EH13" s="627" t="str">
        <f t="shared" si="69"/>
        <v/>
      </c>
      <c r="EI13" s="628"/>
      <c r="EJ13" s="629"/>
      <c r="EK13" s="630"/>
      <c r="EL13" s="629"/>
      <c r="EM13" s="630"/>
      <c r="EN13" s="629"/>
    </row>
    <row r="14" spans="1:144" s="209" customFormat="1" x14ac:dyDescent="0.15">
      <c r="A14" s="402" t="s">
        <v>365</v>
      </c>
      <c r="B14" s="404"/>
      <c r="C14" s="404"/>
      <c r="D14" s="404"/>
      <c r="E14" s="404"/>
      <c r="F14" s="404"/>
      <c r="G14" s="404"/>
      <c r="H14" s="404"/>
      <c r="I14" s="404"/>
      <c r="J14" s="404"/>
      <c r="K14" s="404"/>
      <c r="L14" s="404"/>
      <c r="M14" s="404"/>
      <c r="N14" s="404"/>
      <c r="O14" s="404"/>
      <c r="P14" s="404"/>
      <c r="Q14" s="404"/>
      <c r="R14" s="404"/>
      <c r="S14" s="404"/>
      <c r="T14" s="404"/>
      <c r="U14" s="404"/>
      <c r="V14" s="404"/>
      <c r="W14" s="404"/>
      <c r="X14" s="404"/>
      <c r="Y14" s="404"/>
      <c r="Z14" s="404"/>
      <c r="AA14" s="404"/>
      <c r="AB14" s="404"/>
      <c r="AC14" s="404"/>
      <c r="AD14" s="404"/>
      <c r="AE14" s="404"/>
      <c r="AF14" s="404"/>
      <c r="AG14" s="404"/>
      <c r="AH14" s="404"/>
      <c r="AI14" s="404"/>
      <c r="AJ14" s="404"/>
      <c r="AK14" s="404"/>
      <c r="AL14" s="404"/>
      <c r="AM14" s="404"/>
      <c r="AN14" s="404"/>
      <c r="AO14" s="404"/>
      <c r="AP14" s="404"/>
      <c r="AQ14" s="404"/>
      <c r="AR14" s="404"/>
      <c r="AS14" s="404"/>
      <c r="AT14" s="404"/>
      <c r="AU14" s="404"/>
      <c r="AV14" s="404"/>
      <c r="AW14" s="404"/>
      <c r="AX14" s="404"/>
      <c r="AY14" s="404"/>
      <c r="AZ14" s="404"/>
      <c r="BA14" s="404"/>
      <c r="BB14" s="404"/>
      <c r="BC14" s="404"/>
      <c r="BD14" s="404"/>
      <c r="BE14" s="404"/>
      <c r="BG14" s="277">
        <f t="shared" si="19"/>
        <v>0</v>
      </c>
      <c r="BH14" s="278" t="e">
        <f t="shared" si="20"/>
        <v>#DIV/0!</v>
      </c>
      <c r="BI14" s="279" t="e">
        <f t="shared" si="21"/>
        <v>#DIV/0!</v>
      </c>
      <c r="BJ14" s="279" t="e">
        <f t="shared" si="22"/>
        <v>#DIV/0!</v>
      </c>
      <c r="BK14" s="279" t="e">
        <f t="shared" si="23"/>
        <v>#DIV/0!</v>
      </c>
      <c r="BL14" s="279" t="e">
        <f t="shared" si="24"/>
        <v>#DIV/0!</v>
      </c>
      <c r="BM14" s="279" t="e">
        <f t="shared" si="0"/>
        <v>#DIV/0!</v>
      </c>
      <c r="BN14" s="280" t="e">
        <f t="shared" si="25"/>
        <v>#DIV/0!</v>
      </c>
      <c r="BO14" s="281" t="e">
        <f t="shared" si="26"/>
        <v>#DIV/0!</v>
      </c>
      <c r="BP14" s="282" t="e">
        <f t="shared" si="27"/>
        <v>#DIV/0!</v>
      </c>
      <c r="BQ14" s="281" t="e">
        <f t="shared" si="28"/>
        <v>#DIV/0!</v>
      </c>
      <c r="BR14" s="283" t="e">
        <f t="shared" si="29"/>
        <v>#DIV/0!</v>
      </c>
      <c r="BS14" s="284" t="e">
        <f t="shared" si="1"/>
        <v>#DIV/0!</v>
      </c>
      <c r="BT14" s="311" t="e">
        <f t="shared" si="2"/>
        <v>#DIV/0!</v>
      </c>
      <c r="BU14" s="312">
        <f t="shared" si="30"/>
        <v>0</v>
      </c>
      <c r="BV14" s="287" t="e">
        <f t="shared" si="3"/>
        <v>#DIV/0!</v>
      </c>
      <c r="BW14" s="288">
        <f t="shared" si="31"/>
        <v>0</v>
      </c>
      <c r="BX14" s="289" t="e">
        <f t="shared" si="32"/>
        <v>#DIV/0!</v>
      </c>
      <c r="BY14" s="281" t="e">
        <f t="shared" si="33"/>
        <v>#DIV/0!</v>
      </c>
      <c r="BZ14" s="290" t="e">
        <f t="shared" si="34"/>
        <v>#DIV/0!</v>
      </c>
      <c r="CA14" s="313" t="e">
        <f t="shared" si="35"/>
        <v>#DIV/0!</v>
      </c>
      <c r="CB14" s="304">
        <f t="shared" si="36"/>
        <v>0</v>
      </c>
      <c r="CC14" s="294" t="e">
        <f t="shared" si="37"/>
        <v>#DIV/0!</v>
      </c>
      <c r="CD14" s="300" t="e">
        <f t="shared" si="38"/>
        <v>#DIV/0!</v>
      </c>
      <c r="CE14" s="296" t="e">
        <f t="shared" si="39"/>
        <v>#DIV/0!</v>
      </c>
      <c r="CF14" s="292" t="e">
        <f t="shared" si="40"/>
        <v>#DIV/0!</v>
      </c>
      <c r="CG14" s="292" t="e">
        <f t="shared" si="41"/>
        <v>#DIV/0!</v>
      </c>
      <c r="CH14" s="294" t="e">
        <f t="shared" si="42"/>
        <v>#DIV/0!</v>
      </c>
      <c r="CI14" s="294" t="e">
        <f t="shared" si="43"/>
        <v>#DIV/0!</v>
      </c>
      <c r="CJ14" s="295" t="e">
        <f t="shared" si="44"/>
        <v>#DIV/0!</v>
      </c>
      <c r="CK14" s="296" t="e">
        <f t="shared" si="45"/>
        <v>#DIV/0!</v>
      </c>
      <c r="CL14" s="295" t="e">
        <f t="shared" si="46"/>
        <v>#DIV/0!</v>
      </c>
      <c r="CM14" s="297" t="e">
        <f t="shared" si="47"/>
        <v>#DIV/0!</v>
      </c>
      <c r="CN14" s="298" t="e">
        <f t="shared" si="48"/>
        <v>#DIV/0!</v>
      </c>
      <c r="CO14" s="299" t="e">
        <f t="shared" si="49"/>
        <v>#DIV/0!</v>
      </c>
      <c r="CP14" s="296" t="e">
        <f t="shared" si="50"/>
        <v>#DIV/0!</v>
      </c>
      <c r="CQ14" s="294" t="e">
        <f t="shared" si="51"/>
        <v>#DIV/0!</v>
      </c>
      <c r="CR14" s="294" t="e">
        <f t="shared" si="52"/>
        <v>#DIV/0!</v>
      </c>
      <c r="CS14" s="295" t="e">
        <f t="shared" si="70"/>
        <v>#DIV/0!</v>
      </c>
      <c r="CT14" s="300" t="e">
        <f t="shared" si="71"/>
        <v>#DIV/0!</v>
      </c>
      <c r="CU14" s="314" t="e">
        <f t="shared" si="53"/>
        <v>#DIV/0!</v>
      </c>
      <c r="CV14" s="315" t="e">
        <f t="shared" si="54"/>
        <v>#DIV/0!</v>
      </c>
      <c r="CW14" s="303">
        <f t="shared" si="55"/>
        <v>0</v>
      </c>
      <c r="CX14" s="304">
        <f t="shared" si="56"/>
        <v>0</v>
      </c>
      <c r="CY14" s="304">
        <f t="shared" si="57"/>
        <v>0</v>
      </c>
      <c r="CZ14" s="304">
        <f t="shared" si="58"/>
        <v>0</v>
      </c>
      <c r="DA14" s="304">
        <f t="shared" si="58"/>
        <v>0</v>
      </c>
      <c r="DB14" s="304">
        <f t="shared" si="59"/>
        <v>0</v>
      </c>
      <c r="DC14" s="304">
        <f t="shared" si="60"/>
        <v>0</v>
      </c>
      <c r="DD14" s="304">
        <f t="shared" si="60"/>
        <v>0</v>
      </c>
      <c r="DE14" s="304">
        <f t="shared" si="61"/>
        <v>0</v>
      </c>
      <c r="DF14" s="304">
        <f t="shared" si="62"/>
        <v>0</v>
      </c>
      <c r="DG14" s="304">
        <f t="shared" si="62"/>
        <v>0</v>
      </c>
      <c r="DH14" s="304">
        <f t="shared" si="62"/>
        <v>0</v>
      </c>
      <c r="DI14" s="304">
        <f t="shared" si="62"/>
        <v>0</v>
      </c>
      <c r="DJ14" s="304">
        <f t="shared" si="63"/>
        <v>0</v>
      </c>
      <c r="DK14" s="305">
        <f t="shared" si="63"/>
        <v>0</v>
      </c>
      <c r="DL14" s="269">
        <f t="shared" si="5"/>
        <v>0</v>
      </c>
      <c r="DM14" s="305">
        <f t="shared" si="64"/>
        <v>0</v>
      </c>
      <c r="DN14" s="271">
        <f t="shared" si="65"/>
        <v>0</v>
      </c>
      <c r="DO14" s="306" t="e">
        <f t="shared" si="72"/>
        <v>#DIV/0!</v>
      </c>
      <c r="DP14" s="307" t="e">
        <f t="shared" si="73"/>
        <v>#DIV/0!</v>
      </c>
      <c r="DQ14" s="307" t="e">
        <f t="shared" si="74"/>
        <v>#DIV/0!</v>
      </c>
      <c r="DR14" s="307" t="e">
        <f t="shared" si="75"/>
        <v>#DIV/0!</v>
      </c>
      <c r="DS14" s="307" t="e">
        <f t="shared" si="76"/>
        <v>#DIV/0!</v>
      </c>
      <c r="DT14" s="308" t="e">
        <f t="shared" si="77"/>
        <v>#DIV/0!</v>
      </c>
      <c r="DU14" s="309" t="e">
        <f t="shared" si="78"/>
        <v>#DIV/0!</v>
      </c>
      <c r="DV14" s="307" t="e">
        <f t="shared" si="79"/>
        <v>#DIV/0!</v>
      </c>
      <c r="DW14" s="307" t="e">
        <f t="shared" si="80"/>
        <v>#DIV/0!</v>
      </c>
      <c r="DX14" s="310" t="e">
        <f t="shared" si="81"/>
        <v>#DIV/0!</v>
      </c>
      <c r="DY14" s="309" t="e">
        <f t="shared" si="82"/>
        <v>#DIV/0!</v>
      </c>
      <c r="DZ14" s="307" t="e">
        <f t="shared" si="83"/>
        <v>#DIV/0!</v>
      </c>
      <c r="EA14" s="310" t="e">
        <f t="shared" si="84"/>
        <v>#DIV/0!</v>
      </c>
      <c r="EB14" s="445" t="e">
        <f t="shared" si="66"/>
        <v>#DIV/0!</v>
      </c>
      <c r="EC14" s="414" t="e">
        <f t="shared" si="67"/>
        <v>#DIV/0!</v>
      </c>
      <c r="ED14" s="414" t="e">
        <f t="shared" si="68"/>
        <v>#DIV/0!</v>
      </c>
      <c r="EE14" s="307"/>
      <c r="EF14" s="307"/>
      <c r="EG14" s="310">
        <f t="shared" si="18"/>
        <v>0</v>
      </c>
      <c r="EH14" s="627" t="str">
        <f t="shared" si="69"/>
        <v/>
      </c>
      <c r="EI14" s="628"/>
      <c r="EJ14" s="629"/>
      <c r="EK14" s="630"/>
      <c r="EL14" s="629"/>
      <c r="EM14" s="630"/>
      <c r="EN14" s="629"/>
    </row>
    <row r="15" spans="1:144" s="209" customFormat="1" x14ac:dyDescent="0.15">
      <c r="A15" s="402" t="s">
        <v>366</v>
      </c>
      <c r="B15" s="404"/>
      <c r="C15" s="404"/>
      <c r="D15" s="404"/>
      <c r="E15" s="404"/>
      <c r="F15" s="404"/>
      <c r="G15" s="404"/>
      <c r="H15" s="404"/>
      <c r="I15" s="404"/>
      <c r="J15" s="404"/>
      <c r="K15" s="404"/>
      <c r="L15" s="404"/>
      <c r="M15" s="404"/>
      <c r="N15" s="404"/>
      <c r="O15" s="404"/>
      <c r="P15" s="404"/>
      <c r="Q15" s="404"/>
      <c r="R15" s="404"/>
      <c r="S15" s="404"/>
      <c r="T15" s="404"/>
      <c r="U15" s="404"/>
      <c r="V15" s="404"/>
      <c r="W15" s="404"/>
      <c r="X15" s="404"/>
      <c r="Y15" s="404"/>
      <c r="Z15" s="404"/>
      <c r="AA15" s="404"/>
      <c r="AB15" s="404"/>
      <c r="AC15" s="404"/>
      <c r="AD15" s="404"/>
      <c r="AE15" s="404"/>
      <c r="AF15" s="404"/>
      <c r="AG15" s="404"/>
      <c r="AH15" s="404"/>
      <c r="AI15" s="404"/>
      <c r="AJ15" s="404"/>
      <c r="AK15" s="404"/>
      <c r="AL15" s="404"/>
      <c r="AM15" s="404"/>
      <c r="AN15" s="404"/>
      <c r="AO15" s="404"/>
      <c r="AP15" s="404"/>
      <c r="AQ15" s="404"/>
      <c r="AR15" s="404"/>
      <c r="AS15" s="404"/>
      <c r="AT15" s="404"/>
      <c r="AU15" s="404"/>
      <c r="AV15" s="404"/>
      <c r="AW15" s="404"/>
      <c r="AX15" s="404"/>
      <c r="AY15" s="404"/>
      <c r="AZ15" s="404"/>
      <c r="BA15" s="404"/>
      <c r="BB15" s="404"/>
      <c r="BC15" s="404"/>
      <c r="BD15" s="404"/>
      <c r="BE15" s="404"/>
      <c r="BG15" s="277">
        <f t="shared" si="19"/>
        <v>0</v>
      </c>
      <c r="BH15" s="278" t="e">
        <f t="shared" si="20"/>
        <v>#DIV/0!</v>
      </c>
      <c r="BI15" s="279" t="e">
        <f t="shared" si="21"/>
        <v>#DIV/0!</v>
      </c>
      <c r="BJ15" s="279" t="e">
        <f t="shared" si="22"/>
        <v>#DIV/0!</v>
      </c>
      <c r="BK15" s="279" t="e">
        <f t="shared" si="23"/>
        <v>#DIV/0!</v>
      </c>
      <c r="BL15" s="279" t="e">
        <f t="shared" si="24"/>
        <v>#DIV/0!</v>
      </c>
      <c r="BM15" s="279" t="e">
        <f t="shared" si="0"/>
        <v>#DIV/0!</v>
      </c>
      <c r="BN15" s="280" t="e">
        <f t="shared" si="25"/>
        <v>#DIV/0!</v>
      </c>
      <c r="BO15" s="281" t="e">
        <f t="shared" si="26"/>
        <v>#DIV/0!</v>
      </c>
      <c r="BP15" s="282" t="e">
        <f t="shared" si="27"/>
        <v>#DIV/0!</v>
      </c>
      <c r="BQ15" s="281" t="e">
        <f t="shared" si="28"/>
        <v>#DIV/0!</v>
      </c>
      <c r="BR15" s="283" t="e">
        <f t="shared" si="29"/>
        <v>#DIV/0!</v>
      </c>
      <c r="BS15" s="284" t="e">
        <f t="shared" si="1"/>
        <v>#DIV/0!</v>
      </c>
      <c r="BT15" s="311" t="e">
        <f t="shared" si="2"/>
        <v>#DIV/0!</v>
      </c>
      <c r="BU15" s="312">
        <f t="shared" si="30"/>
        <v>0</v>
      </c>
      <c r="BV15" s="287" t="e">
        <f t="shared" si="3"/>
        <v>#DIV/0!</v>
      </c>
      <c r="BW15" s="288">
        <f t="shared" si="31"/>
        <v>0</v>
      </c>
      <c r="BX15" s="289" t="e">
        <f t="shared" si="32"/>
        <v>#DIV/0!</v>
      </c>
      <c r="BY15" s="281" t="e">
        <f t="shared" si="33"/>
        <v>#DIV/0!</v>
      </c>
      <c r="BZ15" s="290" t="e">
        <f t="shared" si="34"/>
        <v>#DIV/0!</v>
      </c>
      <c r="CA15" s="313" t="e">
        <f t="shared" si="35"/>
        <v>#DIV/0!</v>
      </c>
      <c r="CB15" s="304">
        <f t="shared" si="36"/>
        <v>0</v>
      </c>
      <c r="CC15" s="294" t="e">
        <f t="shared" si="37"/>
        <v>#DIV/0!</v>
      </c>
      <c r="CD15" s="300" t="e">
        <f t="shared" si="38"/>
        <v>#DIV/0!</v>
      </c>
      <c r="CE15" s="296" t="e">
        <f t="shared" si="39"/>
        <v>#DIV/0!</v>
      </c>
      <c r="CF15" s="292" t="e">
        <f t="shared" si="40"/>
        <v>#DIV/0!</v>
      </c>
      <c r="CG15" s="292" t="e">
        <f t="shared" si="41"/>
        <v>#DIV/0!</v>
      </c>
      <c r="CH15" s="294" t="e">
        <f t="shared" si="42"/>
        <v>#DIV/0!</v>
      </c>
      <c r="CI15" s="294" t="e">
        <f t="shared" si="43"/>
        <v>#DIV/0!</v>
      </c>
      <c r="CJ15" s="295" t="e">
        <f t="shared" si="44"/>
        <v>#DIV/0!</v>
      </c>
      <c r="CK15" s="296" t="e">
        <f t="shared" si="45"/>
        <v>#DIV/0!</v>
      </c>
      <c r="CL15" s="295" t="e">
        <f t="shared" si="46"/>
        <v>#DIV/0!</v>
      </c>
      <c r="CM15" s="297" t="e">
        <f t="shared" si="47"/>
        <v>#DIV/0!</v>
      </c>
      <c r="CN15" s="298" t="e">
        <f t="shared" si="48"/>
        <v>#DIV/0!</v>
      </c>
      <c r="CO15" s="299" t="e">
        <f t="shared" si="49"/>
        <v>#DIV/0!</v>
      </c>
      <c r="CP15" s="296" t="e">
        <f t="shared" si="50"/>
        <v>#DIV/0!</v>
      </c>
      <c r="CQ15" s="294" t="e">
        <f t="shared" si="51"/>
        <v>#DIV/0!</v>
      </c>
      <c r="CR15" s="294" t="e">
        <f t="shared" si="52"/>
        <v>#DIV/0!</v>
      </c>
      <c r="CS15" s="295" t="e">
        <f t="shared" si="70"/>
        <v>#DIV/0!</v>
      </c>
      <c r="CT15" s="300" t="e">
        <f t="shared" si="71"/>
        <v>#DIV/0!</v>
      </c>
      <c r="CU15" s="314" t="e">
        <f t="shared" si="53"/>
        <v>#DIV/0!</v>
      </c>
      <c r="CV15" s="315" t="e">
        <f t="shared" si="54"/>
        <v>#DIV/0!</v>
      </c>
      <c r="CW15" s="303">
        <f t="shared" si="55"/>
        <v>0</v>
      </c>
      <c r="CX15" s="304">
        <f t="shared" si="56"/>
        <v>0</v>
      </c>
      <c r="CY15" s="304">
        <f t="shared" si="57"/>
        <v>0</v>
      </c>
      <c r="CZ15" s="304">
        <f t="shared" si="58"/>
        <v>0</v>
      </c>
      <c r="DA15" s="304">
        <f t="shared" si="58"/>
        <v>0</v>
      </c>
      <c r="DB15" s="304">
        <f t="shared" si="59"/>
        <v>0</v>
      </c>
      <c r="DC15" s="304">
        <f t="shared" si="60"/>
        <v>0</v>
      </c>
      <c r="DD15" s="304">
        <f t="shared" si="60"/>
        <v>0</v>
      </c>
      <c r="DE15" s="304">
        <f t="shared" si="61"/>
        <v>0</v>
      </c>
      <c r="DF15" s="304">
        <f t="shared" si="62"/>
        <v>0</v>
      </c>
      <c r="DG15" s="304">
        <f t="shared" si="62"/>
        <v>0</v>
      </c>
      <c r="DH15" s="304">
        <f t="shared" si="62"/>
        <v>0</v>
      </c>
      <c r="DI15" s="304">
        <f t="shared" si="62"/>
        <v>0</v>
      </c>
      <c r="DJ15" s="304">
        <f t="shared" si="63"/>
        <v>0</v>
      </c>
      <c r="DK15" s="305">
        <f t="shared" si="63"/>
        <v>0</v>
      </c>
      <c r="DL15" s="269">
        <f t="shared" si="5"/>
        <v>0</v>
      </c>
      <c r="DM15" s="305">
        <f t="shared" si="64"/>
        <v>0</v>
      </c>
      <c r="DN15" s="271">
        <f t="shared" si="65"/>
        <v>0</v>
      </c>
      <c r="DO15" s="306" t="e">
        <f t="shared" si="72"/>
        <v>#DIV/0!</v>
      </c>
      <c r="DP15" s="307" t="e">
        <f t="shared" si="73"/>
        <v>#DIV/0!</v>
      </c>
      <c r="DQ15" s="307" t="e">
        <f t="shared" si="74"/>
        <v>#DIV/0!</v>
      </c>
      <c r="DR15" s="307" t="e">
        <f t="shared" si="75"/>
        <v>#DIV/0!</v>
      </c>
      <c r="DS15" s="307" t="e">
        <f t="shared" si="76"/>
        <v>#DIV/0!</v>
      </c>
      <c r="DT15" s="308" t="e">
        <f t="shared" si="77"/>
        <v>#DIV/0!</v>
      </c>
      <c r="DU15" s="309" t="e">
        <f t="shared" si="78"/>
        <v>#DIV/0!</v>
      </c>
      <c r="DV15" s="307" t="e">
        <f t="shared" si="79"/>
        <v>#DIV/0!</v>
      </c>
      <c r="DW15" s="307" t="e">
        <f t="shared" si="80"/>
        <v>#DIV/0!</v>
      </c>
      <c r="DX15" s="310" t="e">
        <f t="shared" si="81"/>
        <v>#DIV/0!</v>
      </c>
      <c r="DY15" s="309" t="e">
        <f t="shared" si="82"/>
        <v>#DIV/0!</v>
      </c>
      <c r="DZ15" s="307" t="e">
        <f t="shared" si="83"/>
        <v>#DIV/0!</v>
      </c>
      <c r="EA15" s="310" t="e">
        <f t="shared" si="84"/>
        <v>#DIV/0!</v>
      </c>
      <c r="EB15" s="445" t="e">
        <f t="shared" si="66"/>
        <v>#DIV/0!</v>
      </c>
      <c r="EC15" s="414" t="e">
        <f t="shared" si="67"/>
        <v>#DIV/0!</v>
      </c>
      <c r="ED15" s="414" t="e">
        <f t="shared" si="68"/>
        <v>#DIV/0!</v>
      </c>
      <c r="EE15" s="307"/>
      <c r="EF15" s="307"/>
      <c r="EG15" s="310">
        <f t="shared" si="18"/>
        <v>0</v>
      </c>
      <c r="EH15" s="627" t="str">
        <f t="shared" si="69"/>
        <v/>
      </c>
      <c r="EI15" s="628"/>
      <c r="EJ15" s="629"/>
      <c r="EK15" s="630"/>
      <c r="EL15" s="629"/>
      <c r="EM15" s="630"/>
      <c r="EN15" s="629"/>
    </row>
    <row r="16" spans="1:144" s="209" customFormat="1" x14ac:dyDescent="0.15">
      <c r="A16" s="402" t="s">
        <v>367</v>
      </c>
      <c r="B16" s="404"/>
      <c r="C16" s="404"/>
      <c r="D16" s="404"/>
      <c r="E16" s="404"/>
      <c r="F16" s="404"/>
      <c r="G16" s="404"/>
      <c r="H16" s="404"/>
      <c r="I16" s="404"/>
      <c r="J16" s="404"/>
      <c r="K16" s="404"/>
      <c r="L16" s="404"/>
      <c r="M16" s="404"/>
      <c r="N16" s="404"/>
      <c r="O16" s="404"/>
      <c r="P16" s="404"/>
      <c r="Q16" s="404"/>
      <c r="R16" s="404"/>
      <c r="S16" s="404"/>
      <c r="T16" s="404"/>
      <c r="U16" s="404"/>
      <c r="V16" s="404"/>
      <c r="W16" s="404"/>
      <c r="X16" s="404"/>
      <c r="Y16" s="404"/>
      <c r="Z16" s="404"/>
      <c r="AA16" s="404"/>
      <c r="AB16" s="404"/>
      <c r="AC16" s="404"/>
      <c r="AD16" s="404"/>
      <c r="AE16" s="404"/>
      <c r="AF16" s="404"/>
      <c r="AG16" s="404"/>
      <c r="AH16" s="404"/>
      <c r="AI16" s="404"/>
      <c r="AJ16" s="404"/>
      <c r="AK16" s="404"/>
      <c r="AL16" s="404"/>
      <c r="AM16" s="404"/>
      <c r="AN16" s="404"/>
      <c r="AO16" s="404"/>
      <c r="AP16" s="404"/>
      <c r="AQ16" s="404"/>
      <c r="AR16" s="404"/>
      <c r="AS16" s="404"/>
      <c r="AT16" s="404"/>
      <c r="AU16" s="404"/>
      <c r="AV16" s="404"/>
      <c r="AW16" s="404"/>
      <c r="AX16" s="404"/>
      <c r="AY16" s="404"/>
      <c r="AZ16" s="404"/>
      <c r="BA16" s="404"/>
      <c r="BB16" s="404"/>
      <c r="BC16" s="404"/>
      <c r="BD16" s="404"/>
      <c r="BE16" s="404"/>
      <c r="BG16" s="277">
        <f t="shared" si="19"/>
        <v>0</v>
      </c>
      <c r="BH16" s="278" t="e">
        <f t="shared" si="20"/>
        <v>#DIV/0!</v>
      </c>
      <c r="BI16" s="279" t="e">
        <f t="shared" si="21"/>
        <v>#DIV/0!</v>
      </c>
      <c r="BJ16" s="279" t="e">
        <f t="shared" si="22"/>
        <v>#DIV/0!</v>
      </c>
      <c r="BK16" s="279" t="e">
        <f t="shared" si="23"/>
        <v>#DIV/0!</v>
      </c>
      <c r="BL16" s="279" t="e">
        <f t="shared" si="24"/>
        <v>#DIV/0!</v>
      </c>
      <c r="BM16" s="279" t="e">
        <f t="shared" si="0"/>
        <v>#DIV/0!</v>
      </c>
      <c r="BN16" s="280" t="e">
        <f t="shared" si="25"/>
        <v>#DIV/0!</v>
      </c>
      <c r="BO16" s="281" t="e">
        <f t="shared" si="26"/>
        <v>#DIV/0!</v>
      </c>
      <c r="BP16" s="282" t="e">
        <f t="shared" si="27"/>
        <v>#DIV/0!</v>
      </c>
      <c r="BQ16" s="281" t="e">
        <f t="shared" si="28"/>
        <v>#DIV/0!</v>
      </c>
      <c r="BR16" s="283" t="e">
        <f t="shared" si="29"/>
        <v>#DIV/0!</v>
      </c>
      <c r="BS16" s="284" t="e">
        <f t="shared" si="1"/>
        <v>#DIV/0!</v>
      </c>
      <c r="BT16" s="311" t="e">
        <f t="shared" si="2"/>
        <v>#DIV/0!</v>
      </c>
      <c r="BU16" s="312">
        <f t="shared" si="30"/>
        <v>0</v>
      </c>
      <c r="BV16" s="287" t="e">
        <f t="shared" si="3"/>
        <v>#DIV/0!</v>
      </c>
      <c r="BW16" s="288">
        <f t="shared" si="31"/>
        <v>0</v>
      </c>
      <c r="BX16" s="289" t="e">
        <f t="shared" si="32"/>
        <v>#DIV/0!</v>
      </c>
      <c r="BY16" s="281" t="e">
        <f t="shared" si="33"/>
        <v>#DIV/0!</v>
      </c>
      <c r="BZ16" s="290" t="e">
        <f t="shared" si="34"/>
        <v>#DIV/0!</v>
      </c>
      <c r="CA16" s="313" t="e">
        <f t="shared" si="35"/>
        <v>#DIV/0!</v>
      </c>
      <c r="CB16" s="304">
        <f t="shared" si="36"/>
        <v>0</v>
      </c>
      <c r="CC16" s="294" t="e">
        <f t="shared" si="37"/>
        <v>#DIV/0!</v>
      </c>
      <c r="CD16" s="300" t="e">
        <f t="shared" si="38"/>
        <v>#DIV/0!</v>
      </c>
      <c r="CE16" s="296" t="e">
        <f t="shared" si="39"/>
        <v>#DIV/0!</v>
      </c>
      <c r="CF16" s="292" t="e">
        <f t="shared" si="40"/>
        <v>#DIV/0!</v>
      </c>
      <c r="CG16" s="292" t="e">
        <f t="shared" si="41"/>
        <v>#DIV/0!</v>
      </c>
      <c r="CH16" s="294" t="e">
        <f t="shared" si="42"/>
        <v>#DIV/0!</v>
      </c>
      <c r="CI16" s="294" t="e">
        <f t="shared" si="43"/>
        <v>#DIV/0!</v>
      </c>
      <c r="CJ16" s="295" t="e">
        <f t="shared" si="44"/>
        <v>#DIV/0!</v>
      </c>
      <c r="CK16" s="296" t="e">
        <f t="shared" si="45"/>
        <v>#DIV/0!</v>
      </c>
      <c r="CL16" s="295" t="e">
        <f t="shared" si="46"/>
        <v>#DIV/0!</v>
      </c>
      <c r="CM16" s="297" t="e">
        <f t="shared" si="47"/>
        <v>#DIV/0!</v>
      </c>
      <c r="CN16" s="298" t="e">
        <f t="shared" si="48"/>
        <v>#DIV/0!</v>
      </c>
      <c r="CO16" s="299" t="e">
        <f t="shared" si="49"/>
        <v>#DIV/0!</v>
      </c>
      <c r="CP16" s="296" t="e">
        <f t="shared" si="50"/>
        <v>#DIV/0!</v>
      </c>
      <c r="CQ16" s="294" t="e">
        <f t="shared" si="51"/>
        <v>#DIV/0!</v>
      </c>
      <c r="CR16" s="294" t="e">
        <f t="shared" si="52"/>
        <v>#DIV/0!</v>
      </c>
      <c r="CS16" s="295" t="e">
        <f t="shared" si="70"/>
        <v>#DIV/0!</v>
      </c>
      <c r="CT16" s="300" t="e">
        <f t="shared" si="71"/>
        <v>#DIV/0!</v>
      </c>
      <c r="CU16" s="314" t="e">
        <f t="shared" si="53"/>
        <v>#DIV/0!</v>
      </c>
      <c r="CV16" s="315" t="e">
        <f t="shared" si="54"/>
        <v>#DIV/0!</v>
      </c>
      <c r="CW16" s="303">
        <f t="shared" si="55"/>
        <v>0</v>
      </c>
      <c r="CX16" s="304">
        <f t="shared" si="56"/>
        <v>0</v>
      </c>
      <c r="CY16" s="304">
        <f t="shared" si="57"/>
        <v>0</v>
      </c>
      <c r="CZ16" s="304">
        <f t="shared" si="58"/>
        <v>0</v>
      </c>
      <c r="DA16" s="304">
        <f t="shared" si="58"/>
        <v>0</v>
      </c>
      <c r="DB16" s="304">
        <f t="shared" si="59"/>
        <v>0</v>
      </c>
      <c r="DC16" s="304">
        <f t="shared" si="60"/>
        <v>0</v>
      </c>
      <c r="DD16" s="304">
        <f t="shared" si="60"/>
        <v>0</v>
      </c>
      <c r="DE16" s="304">
        <f t="shared" si="61"/>
        <v>0</v>
      </c>
      <c r="DF16" s="304">
        <f t="shared" si="62"/>
        <v>0</v>
      </c>
      <c r="DG16" s="304">
        <f t="shared" si="62"/>
        <v>0</v>
      </c>
      <c r="DH16" s="304">
        <f t="shared" si="62"/>
        <v>0</v>
      </c>
      <c r="DI16" s="304">
        <f t="shared" si="62"/>
        <v>0</v>
      </c>
      <c r="DJ16" s="304">
        <f t="shared" si="63"/>
        <v>0</v>
      </c>
      <c r="DK16" s="305">
        <f t="shared" si="63"/>
        <v>0</v>
      </c>
      <c r="DL16" s="269">
        <f t="shared" si="5"/>
        <v>0</v>
      </c>
      <c r="DM16" s="305">
        <f t="shared" si="64"/>
        <v>0</v>
      </c>
      <c r="DN16" s="271">
        <f t="shared" si="65"/>
        <v>0</v>
      </c>
      <c r="DO16" s="306" t="e">
        <f t="shared" si="72"/>
        <v>#DIV/0!</v>
      </c>
      <c r="DP16" s="307" t="e">
        <f t="shared" si="73"/>
        <v>#DIV/0!</v>
      </c>
      <c r="DQ16" s="307" t="e">
        <f t="shared" si="74"/>
        <v>#DIV/0!</v>
      </c>
      <c r="DR16" s="307" t="e">
        <f t="shared" si="75"/>
        <v>#DIV/0!</v>
      </c>
      <c r="DS16" s="307" t="e">
        <f t="shared" si="76"/>
        <v>#DIV/0!</v>
      </c>
      <c r="DT16" s="308" t="e">
        <f t="shared" si="77"/>
        <v>#DIV/0!</v>
      </c>
      <c r="DU16" s="309" t="e">
        <f t="shared" si="78"/>
        <v>#DIV/0!</v>
      </c>
      <c r="DV16" s="307" t="e">
        <f t="shared" si="79"/>
        <v>#DIV/0!</v>
      </c>
      <c r="DW16" s="307" t="e">
        <f t="shared" si="80"/>
        <v>#DIV/0!</v>
      </c>
      <c r="DX16" s="310" t="e">
        <f t="shared" si="81"/>
        <v>#DIV/0!</v>
      </c>
      <c r="DY16" s="309" t="e">
        <f t="shared" si="82"/>
        <v>#DIV/0!</v>
      </c>
      <c r="DZ16" s="307" t="e">
        <f t="shared" si="83"/>
        <v>#DIV/0!</v>
      </c>
      <c r="EA16" s="310" t="e">
        <f t="shared" si="84"/>
        <v>#DIV/0!</v>
      </c>
      <c r="EB16" s="445" t="e">
        <f t="shared" si="66"/>
        <v>#DIV/0!</v>
      </c>
      <c r="EC16" s="414" t="e">
        <f t="shared" si="67"/>
        <v>#DIV/0!</v>
      </c>
      <c r="ED16" s="414" t="e">
        <f t="shared" si="68"/>
        <v>#DIV/0!</v>
      </c>
      <c r="EE16" s="307"/>
      <c r="EF16" s="307"/>
      <c r="EG16" s="310">
        <f t="shared" si="18"/>
        <v>0</v>
      </c>
      <c r="EH16" s="627" t="str">
        <f t="shared" si="69"/>
        <v/>
      </c>
      <c r="EI16" s="628"/>
      <c r="EJ16" s="629"/>
      <c r="EK16" s="630"/>
      <c r="EL16" s="629"/>
      <c r="EM16" s="630"/>
      <c r="EN16" s="629"/>
    </row>
    <row r="17" spans="1:144" s="209" customFormat="1" x14ac:dyDescent="0.15">
      <c r="A17" s="402" t="s">
        <v>368</v>
      </c>
      <c r="B17" s="404"/>
      <c r="C17" s="404"/>
      <c r="D17" s="404"/>
      <c r="E17" s="404"/>
      <c r="F17" s="404"/>
      <c r="G17" s="404"/>
      <c r="H17" s="404"/>
      <c r="I17" s="404"/>
      <c r="J17" s="404"/>
      <c r="K17" s="404"/>
      <c r="L17" s="404"/>
      <c r="M17" s="404"/>
      <c r="N17" s="404"/>
      <c r="O17" s="404"/>
      <c r="P17" s="404"/>
      <c r="Q17" s="404"/>
      <c r="R17" s="404"/>
      <c r="S17" s="404"/>
      <c r="T17" s="404"/>
      <c r="U17" s="404"/>
      <c r="V17" s="404"/>
      <c r="W17" s="404"/>
      <c r="X17" s="404"/>
      <c r="Y17" s="404"/>
      <c r="Z17" s="404"/>
      <c r="AA17" s="404"/>
      <c r="AB17" s="404"/>
      <c r="AC17" s="404"/>
      <c r="AD17" s="404"/>
      <c r="AE17" s="404"/>
      <c r="AF17" s="404"/>
      <c r="AG17" s="404"/>
      <c r="AH17" s="404"/>
      <c r="AI17" s="404"/>
      <c r="AJ17" s="404"/>
      <c r="AK17" s="404"/>
      <c r="AL17" s="404"/>
      <c r="AM17" s="404"/>
      <c r="AN17" s="404"/>
      <c r="AO17" s="404"/>
      <c r="AP17" s="404"/>
      <c r="AQ17" s="404"/>
      <c r="AR17" s="404"/>
      <c r="AS17" s="404"/>
      <c r="AT17" s="404"/>
      <c r="AU17" s="404"/>
      <c r="AV17" s="404"/>
      <c r="AW17" s="404"/>
      <c r="AX17" s="404"/>
      <c r="AY17" s="404"/>
      <c r="AZ17" s="404"/>
      <c r="BA17" s="404"/>
      <c r="BB17" s="404"/>
      <c r="BC17" s="404"/>
      <c r="BD17" s="404"/>
      <c r="BE17" s="404"/>
      <c r="BG17" s="277">
        <f t="shared" si="19"/>
        <v>0</v>
      </c>
      <c r="BH17" s="278" t="e">
        <f t="shared" si="20"/>
        <v>#DIV/0!</v>
      </c>
      <c r="BI17" s="279" t="e">
        <f t="shared" si="21"/>
        <v>#DIV/0!</v>
      </c>
      <c r="BJ17" s="279" t="e">
        <f t="shared" si="22"/>
        <v>#DIV/0!</v>
      </c>
      <c r="BK17" s="279" t="e">
        <f t="shared" si="23"/>
        <v>#DIV/0!</v>
      </c>
      <c r="BL17" s="279" t="e">
        <f t="shared" si="24"/>
        <v>#DIV/0!</v>
      </c>
      <c r="BM17" s="279" t="e">
        <f t="shared" si="0"/>
        <v>#DIV/0!</v>
      </c>
      <c r="BN17" s="280" t="e">
        <f t="shared" si="25"/>
        <v>#DIV/0!</v>
      </c>
      <c r="BO17" s="281" t="e">
        <f t="shared" si="26"/>
        <v>#DIV/0!</v>
      </c>
      <c r="BP17" s="282" t="e">
        <f t="shared" si="27"/>
        <v>#DIV/0!</v>
      </c>
      <c r="BQ17" s="281" t="e">
        <f t="shared" si="28"/>
        <v>#DIV/0!</v>
      </c>
      <c r="BR17" s="283" t="e">
        <f t="shared" si="29"/>
        <v>#DIV/0!</v>
      </c>
      <c r="BS17" s="284" t="e">
        <f t="shared" si="1"/>
        <v>#DIV/0!</v>
      </c>
      <c r="BT17" s="311" t="e">
        <f t="shared" si="2"/>
        <v>#DIV/0!</v>
      </c>
      <c r="BU17" s="312">
        <f t="shared" si="30"/>
        <v>0</v>
      </c>
      <c r="BV17" s="287" t="e">
        <f t="shared" si="3"/>
        <v>#DIV/0!</v>
      </c>
      <c r="BW17" s="288">
        <f t="shared" si="31"/>
        <v>0</v>
      </c>
      <c r="BX17" s="289" t="e">
        <f t="shared" si="32"/>
        <v>#DIV/0!</v>
      </c>
      <c r="BY17" s="281" t="e">
        <f t="shared" si="33"/>
        <v>#DIV/0!</v>
      </c>
      <c r="BZ17" s="290" t="e">
        <f t="shared" si="34"/>
        <v>#DIV/0!</v>
      </c>
      <c r="CA17" s="313" t="e">
        <f t="shared" si="35"/>
        <v>#DIV/0!</v>
      </c>
      <c r="CB17" s="304">
        <f t="shared" si="36"/>
        <v>0</v>
      </c>
      <c r="CC17" s="294" t="e">
        <f t="shared" si="37"/>
        <v>#DIV/0!</v>
      </c>
      <c r="CD17" s="300" t="e">
        <f t="shared" si="38"/>
        <v>#DIV/0!</v>
      </c>
      <c r="CE17" s="296" t="e">
        <f t="shared" si="39"/>
        <v>#DIV/0!</v>
      </c>
      <c r="CF17" s="292" t="e">
        <f t="shared" si="40"/>
        <v>#DIV/0!</v>
      </c>
      <c r="CG17" s="292" t="e">
        <f t="shared" si="41"/>
        <v>#DIV/0!</v>
      </c>
      <c r="CH17" s="294" t="e">
        <f t="shared" si="42"/>
        <v>#DIV/0!</v>
      </c>
      <c r="CI17" s="294" t="e">
        <f t="shared" si="43"/>
        <v>#DIV/0!</v>
      </c>
      <c r="CJ17" s="295" t="e">
        <f t="shared" si="44"/>
        <v>#DIV/0!</v>
      </c>
      <c r="CK17" s="296" t="e">
        <f t="shared" si="45"/>
        <v>#DIV/0!</v>
      </c>
      <c r="CL17" s="295" t="e">
        <f t="shared" si="46"/>
        <v>#DIV/0!</v>
      </c>
      <c r="CM17" s="297" t="e">
        <f t="shared" si="47"/>
        <v>#DIV/0!</v>
      </c>
      <c r="CN17" s="298" t="e">
        <f t="shared" si="48"/>
        <v>#DIV/0!</v>
      </c>
      <c r="CO17" s="299" t="e">
        <f t="shared" si="49"/>
        <v>#DIV/0!</v>
      </c>
      <c r="CP17" s="296" t="e">
        <f t="shared" si="50"/>
        <v>#DIV/0!</v>
      </c>
      <c r="CQ17" s="294" t="e">
        <f t="shared" si="51"/>
        <v>#DIV/0!</v>
      </c>
      <c r="CR17" s="294" t="e">
        <f t="shared" si="52"/>
        <v>#DIV/0!</v>
      </c>
      <c r="CS17" s="295" t="e">
        <f t="shared" si="70"/>
        <v>#DIV/0!</v>
      </c>
      <c r="CT17" s="300" t="e">
        <f t="shared" si="71"/>
        <v>#DIV/0!</v>
      </c>
      <c r="CU17" s="314" t="e">
        <f t="shared" si="53"/>
        <v>#DIV/0!</v>
      </c>
      <c r="CV17" s="315" t="e">
        <f t="shared" si="54"/>
        <v>#DIV/0!</v>
      </c>
      <c r="CW17" s="303">
        <f t="shared" si="55"/>
        <v>0</v>
      </c>
      <c r="CX17" s="304">
        <f t="shared" si="56"/>
        <v>0</v>
      </c>
      <c r="CY17" s="304">
        <f t="shared" si="57"/>
        <v>0</v>
      </c>
      <c r="CZ17" s="304">
        <f t="shared" si="58"/>
        <v>0</v>
      </c>
      <c r="DA17" s="304">
        <f t="shared" si="58"/>
        <v>0</v>
      </c>
      <c r="DB17" s="304">
        <f t="shared" si="59"/>
        <v>0</v>
      </c>
      <c r="DC17" s="304">
        <f t="shared" si="60"/>
        <v>0</v>
      </c>
      <c r="DD17" s="304">
        <f t="shared" si="60"/>
        <v>0</v>
      </c>
      <c r="DE17" s="304">
        <f t="shared" si="61"/>
        <v>0</v>
      </c>
      <c r="DF17" s="304">
        <f t="shared" si="62"/>
        <v>0</v>
      </c>
      <c r="DG17" s="304">
        <f t="shared" si="62"/>
        <v>0</v>
      </c>
      <c r="DH17" s="304">
        <f t="shared" si="62"/>
        <v>0</v>
      </c>
      <c r="DI17" s="304">
        <f t="shared" si="62"/>
        <v>0</v>
      </c>
      <c r="DJ17" s="304">
        <f t="shared" si="63"/>
        <v>0</v>
      </c>
      <c r="DK17" s="305">
        <f t="shared" si="63"/>
        <v>0</v>
      </c>
      <c r="DL17" s="269">
        <f t="shared" si="5"/>
        <v>0</v>
      </c>
      <c r="DM17" s="305">
        <f t="shared" si="64"/>
        <v>0</v>
      </c>
      <c r="DN17" s="271">
        <f t="shared" si="65"/>
        <v>0</v>
      </c>
      <c r="DO17" s="306" t="e">
        <f t="shared" si="72"/>
        <v>#DIV/0!</v>
      </c>
      <c r="DP17" s="307" t="e">
        <f t="shared" si="73"/>
        <v>#DIV/0!</v>
      </c>
      <c r="DQ17" s="307" t="e">
        <f t="shared" si="74"/>
        <v>#DIV/0!</v>
      </c>
      <c r="DR17" s="307" t="e">
        <f t="shared" si="75"/>
        <v>#DIV/0!</v>
      </c>
      <c r="DS17" s="307" t="e">
        <f t="shared" si="76"/>
        <v>#DIV/0!</v>
      </c>
      <c r="DT17" s="308" t="e">
        <f t="shared" si="77"/>
        <v>#DIV/0!</v>
      </c>
      <c r="DU17" s="309" t="e">
        <f t="shared" si="78"/>
        <v>#DIV/0!</v>
      </c>
      <c r="DV17" s="307" t="e">
        <f t="shared" si="79"/>
        <v>#DIV/0!</v>
      </c>
      <c r="DW17" s="307" t="e">
        <f t="shared" si="80"/>
        <v>#DIV/0!</v>
      </c>
      <c r="DX17" s="310" t="e">
        <f t="shared" si="81"/>
        <v>#DIV/0!</v>
      </c>
      <c r="DY17" s="309" t="e">
        <f t="shared" si="82"/>
        <v>#DIV/0!</v>
      </c>
      <c r="DZ17" s="307" t="e">
        <f t="shared" si="83"/>
        <v>#DIV/0!</v>
      </c>
      <c r="EA17" s="310" t="e">
        <f t="shared" si="84"/>
        <v>#DIV/0!</v>
      </c>
      <c r="EB17" s="445" t="e">
        <f t="shared" si="66"/>
        <v>#DIV/0!</v>
      </c>
      <c r="EC17" s="414" t="e">
        <f t="shared" si="67"/>
        <v>#DIV/0!</v>
      </c>
      <c r="ED17" s="414" t="e">
        <f t="shared" si="68"/>
        <v>#DIV/0!</v>
      </c>
      <c r="EE17" s="307"/>
      <c r="EF17" s="307"/>
      <c r="EG17" s="310">
        <f t="shared" si="18"/>
        <v>0</v>
      </c>
      <c r="EH17" s="627" t="str">
        <f t="shared" si="69"/>
        <v/>
      </c>
      <c r="EI17" s="628"/>
      <c r="EJ17" s="629"/>
      <c r="EK17" s="630"/>
      <c r="EL17" s="629"/>
      <c r="EM17" s="630"/>
      <c r="EN17" s="629"/>
    </row>
    <row r="18" spans="1:144" s="209" customFormat="1" x14ac:dyDescent="0.15">
      <c r="A18" s="402" t="s">
        <v>369</v>
      </c>
      <c r="B18" s="404"/>
      <c r="C18" s="404"/>
      <c r="D18" s="404"/>
      <c r="E18" s="404"/>
      <c r="F18" s="404"/>
      <c r="G18" s="404"/>
      <c r="H18" s="404"/>
      <c r="I18" s="404"/>
      <c r="J18" s="404"/>
      <c r="K18" s="404"/>
      <c r="L18" s="404"/>
      <c r="M18" s="404"/>
      <c r="N18" s="404"/>
      <c r="O18" s="404"/>
      <c r="P18" s="404"/>
      <c r="Q18" s="404"/>
      <c r="R18" s="404"/>
      <c r="S18" s="404"/>
      <c r="T18" s="404"/>
      <c r="U18" s="404"/>
      <c r="V18" s="404"/>
      <c r="W18" s="404"/>
      <c r="X18" s="404"/>
      <c r="Y18" s="404"/>
      <c r="Z18" s="404"/>
      <c r="AA18" s="404"/>
      <c r="AB18" s="404"/>
      <c r="AC18" s="404"/>
      <c r="AD18" s="404"/>
      <c r="AE18" s="404"/>
      <c r="AF18" s="404"/>
      <c r="AG18" s="404"/>
      <c r="AH18" s="404"/>
      <c r="AI18" s="404"/>
      <c r="AJ18" s="404"/>
      <c r="AK18" s="404"/>
      <c r="AL18" s="404"/>
      <c r="AM18" s="404"/>
      <c r="AN18" s="404"/>
      <c r="AO18" s="404"/>
      <c r="AP18" s="404"/>
      <c r="AQ18" s="404"/>
      <c r="AR18" s="404"/>
      <c r="AS18" s="404"/>
      <c r="AT18" s="404"/>
      <c r="AU18" s="404"/>
      <c r="AV18" s="404"/>
      <c r="AW18" s="404"/>
      <c r="AX18" s="404"/>
      <c r="AY18" s="404"/>
      <c r="AZ18" s="404"/>
      <c r="BA18" s="404"/>
      <c r="BB18" s="404"/>
      <c r="BC18" s="404"/>
      <c r="BD18" s="404"/>
      <c r="BE18" s="404"/>
      <c r="BG18" s="277">
        <f t="shared" si="19"/>
        <v>0</v>
      </c>
      <c r="BH18" s="278" t="e">
        <f t="shared" si="20"/>
        <v>#DIV/0!</v>
      </c>
      <c r="BI18" s="279" t="e">
        <f t="shared" si="21"/>
        <v>#DIV/0!</v>
      </c>
      <c r="BJ18" s="279" t="e">
        <f t="shared" si="22"/>
        <v>#DIV/0!</v>
      </c>
      <c r="BK18" s="279" t="e">
        <f t="shared" si="23"/>
        <v>#DIV/0!</v>
      </c>
      <c r="BL18" s="279" t="e">
        <f t="shared" si="24"/>
        <v>#DIV/0!</v>
      </c>
      <c r="BM18" s="279" t="e">
        <f t="shared" si="0"/>
        <v>#DIV/0!</v>
      </c>
      <c r="BN18" s="280" t="e">
        <f t="shared" si="25"/>
        <v>#DIV/0!</v>
      </c>
      <c r="BO18" s="281" t="e">
        <f t="shared" si="26"/>
        <v>#DIV/0!</v>
      </c>
      <c r="BP18" s="282" t="e">
        <f t="shared" si="27"/>
        <v>#DIV/0!</v>
      </c>
      <c r="BQ18" s="281" t="e">
        <f t="shared" si="28"/>
        <v>#DIV/0!</v>
      </c>
      <c r="BR18" s="283" t="e">
        <f t="shared" si="29"/>
        <v>#DIV/0!</v>
      </c>
      <c r="BS18" s="284" t="e">
        <f t="shared" si="1"/>
        <v>#DIV/0!</v>
      </c>
      <c r="BT18" s="311" t="e">
        <f t="shared" si="2"/>
        <v>#DIV/0!</v>
      </c>
      <c r="BU18" s="312">
        <f t="shared" si="30"/>
        <v>0</v>
      </c>
      <c r="BV18" s="287" t="e">
        <f t="shared" si="3"/>
        <v>#DIV/0!</v>
      </c>
      <c r="BW18" s="288">
        <f t="shared" si="31"/>
        <v>0</v>
      </c>
      <c r="BX18" s="289" t="e">
        <f t="shared" si="32"/>
        <v>#DIV/0!</v>
      </c>
      <c r="BY18" s="281" t="e">
        <f t="shared" si="33"/>
        <v>#DIV/0!</v>
      </c>
      <c r="BZ18" s="290" t="e">
        <f t="shared" si="34"/>
        <v>#DIV/0!</v>
      </c>
      <c r="CA18" s="313" t="e">
        <f t="shared" si="35"/>
        <v>#DIV/0!</v>
      </c>
      <c r="CB18" s="304">
        <f t="shared" si="36"/>
        <v>0</v>
      </c>
      <c r="CC18" s="294" t="e">
        <f t="shared" si="37"/>
        <v>#DIV/0!</v>
      </c>
      <c r="CD18" s="300" t="e">
        <f t="shared" si="38"/>
        <v>#DIV/0!</v>
      </c>
      <c r="CE18" s="296" t="e">
        <f t="shared" si="39"/>
        <v>#DIV/0!</v>
      </c>
      <c r="CF18" s="292" t="e">
        <f t="shared" si="40"/>
        <v>#DIV/0!</v>
      </c>
      <c r="CG18" s="292" t="e">
        <f t="shared" si="41"/>
        <v>#DIV/0!</v>
      </c>
      <c r="CH18" s="294" t="e">
        <f t="shared" si="42"/>
        <v>#DIV/0!</v>
      </c>
      <c r="CI18" s="294" t="e">
        <f t="shared" si="43"/>
        <v>#DIV/0!</v>
      </c>
      <c r="CJ18" s="295" t="e">
        <f t="shared" si="44"/>
        <v>#DIV/0!</v>
      </c>
      <c r="CK18" s="296" t="e">
        <f t="shared" si="45"/>
        <v>#DIV/0!</v>
      </c>
      <c r="CL18" s="295" t="e">
        <f t="shared" si="46"/>
        <v>#DIV/0!</v>
      </c>
      <c r="CM18" s="297" t="e">
        <f t="shared" si="47"/>
        <v>#DIV/0!</v>
      </c>
      <c r="CN18" s="298" t="e">
        <f t="shared" si="48"/>
        <v>#DIV/0!</v>
      </c>
      <c r="CO18" s="299" t="e">
        <f t="shared" si="49"/>
        <v>#DIV/0!</v>
      </c>
      <c r="CP18" s="296" t="e">
        <f t="shared" si="50"/>
        <v>#DIV/0!</v>
      </c>
      <c r="CQ18" s="294" t="e">
        <f t="shared" si="51"/>
        <v>#DIV/0!</v>
      </c>
      <c r="CR18" s="294" t="e">
        <f t="shared" si="52"/>
        <v>#DIV/0!</v>
      </c>
      <c r="CS18" s="295" t="e">
        <f t="shared" si="70"/>
        <v>#DIV/0!</v>
      </c>
      <c r="CT18" s="300" t="e">
        <f t="shared" si="71"/>
        <v>#DIV/0!</v>
      </c>
      <c r="CU18" s="314" t="e">
        <f t="shared" si="53"/>
        <v>#DIV/0!</v>
      </c>
      <c r="CV18" s="315" t="e">
        <f t="shared" si="54"/>
        <v>#DIV/0!</v>
      </c>
      <c r="CW18" s="303">
        <f t="shared" si="55"/>
        <v>0</v>
      </c>
      <c r="CX18" s="304">
        <f t="shared" si="56"/>
        <v>0</v>
      </c>
      <c r="CY18" s="304">
        <f t="shared" si="57"/>
        <v>0</v>
      </c>
      <c r="CZ18" s="304">
        <f t="shared" si="58"/>
        <v>0</v>
      </c>
      <c r="DA18" s="304">
        <f t="shared" si="58"/>
        <v>0</v>
      </c>
      <c r="DB18" s="304">
        <f t="shared" si="59"/>
        <v>0</v>
      </c>
      <c r="DC18" s="304">
        <f t="shared" si="60"/>
        <v>0</v>
      </c>
      <c r="DD18" s="304">
        <f t="shared" si="60"/>
        <v>0</v>
      </c>
      <c r="DE18" s="304">
        <f t="shared" si="61"/>
        <v>0</v>
      </c>
      <c r="DF18" s="304">
        <f t="shared" si="62"/>
        <v>0</v>
      </c>
      <c r="DG18" s="304">
        <f t="shared" si="62"/>
        <v>0</v>
      </c>
      <c r="DH18" s="304">
        <f t="shared" si="62"/>
        <v>0</v>
      </c>
      <c r="DI18" s="304">
        <f t="shared" si="62"/>
        <v>0</v>
      </c>
      <c r="DJ18" s="304">
        <f t="shared" si="63"/>
        <v>0</v>
      </c>
      <c r="DK18" s="305">
        <f t="shared" si="63"/>
        <v>0</v>
      </c>
      <c r="DL18" s="269">
        <f t="shared" si="5"/>
        <v>0</v>
      </c>
      <c r="DM18" s="305">
        <f t="shared" si="64"/>
        <v>0</v>
      </c>
      <c r="DN18" s="271">
        <f t="shared" si="65"/>
        <v>0</v>
      </c>
      <c r="DO18" s="306" t="e">
        <f t="shared" si="72"/>
        <v>#DIV/0!</v>
      </c>
      <c r="DP18" s="307" t="e">
        <f t="shared" si="73"/>
        <v>#DIV/0!</v>
      </c>
      <c r="DQ18" s="307" t="e">
        <f t="shared" si="74"/>
        <v>#DIV/0!</v>
      </c>
      <c r="DR18" s="307" t="e">
        <f t="shared" si="75"/>
        <v>#DIV/0!</v>
      </c>
      <c r="DS18" s="307" t="e">
        <f t="shared" si="76"/>
        <v>#DIV/0!</v>
      </c>
      <c r="DT18" s="308" t="e">
        <f t="shared" si="77"/>
        <v>#DIV/0!</v>
      </c>
      <c r="DU18" s="309" t="e">
        <f t="shared" si="78"/>
        <v>#DIV/0!</v>
      </c>
      <c r="DV18" s="307" t="e">
        <f t="shared" si="79"/>
        <v>#DIV/0!</v>
      </c>
      <c r="DW18" s="307" t="e">
        <f t="shared" si="80"/>
        <v>#DIV/0!</v>
      </c>
      <c r="DX18" s="310" t="e">
        <f t="shared" si="81"/>
        <v>#DIV/0!</v>
      </c>
      <c r="DY18" s="309" t="e">
        <f t="shared" si="82"/>
        <v>#DIV/0!</v>
      </c>
      <c r="DZ18" s="307" t="e">
        <f t="shared" si="83"/>
        <v>#DIV/0!</v>
      </c>
      <c r="EA18" s="310" t="e">
        <f t="shared" si="84"/>
        <v>#DIV/0!</v>
      </c>
      <c r="EB18" s="445" t="e">
        <f t="shared" si="66"/>
        <v>#DIV/0!</v>
      </c>
      <c r="EC18" s="414" t="e">
        <f t="shared" si="67"/>
        <v>#DIV/0!</v>
      </c>
      <c r="ED18" s="414" t="e">
        <f t="shared" si="68"/>
        <v>#DIV/0!</v>
      </c>
      <c r="EE18" s="307"/>
      <c r="EF18" s="307"/>
      <c r="EG18" s="310">
        <f t="shared" si="18"/>
        <v>0</v>
      </c>
      <c r="EH18" s="627" t="str">
        <f t="shared" si="69"/>
        <v/>
      </c>
      <c r="EI18" s="628"/>
      <c r="EJ18" s="629"/>
      <c r="EK18" s="630"/>
      <c r="EL18" s="629"/>
      <c r="EM18" s="630"/>
      <c r="EN18" s="629"/>
    </row>
    <row r="19" spans="1:144" s="209" customFormat="1" x14ac:dyDescent="0.15">
      <c r="A19" s="590" t="s">
        <v>377</v>
      </c>
      <c r="B19" s="591"/>
      <c r="C19" s="591"/>
      <c r="D19" s="591"/>
      <c r="E19" s="591"/>
      <c r="F19" s="591"/>
      <c r="G19" s="591"/>
      <c r="H19" s="591"/>
      <c r="I19" s="591"/>
      <c r="J19" s="591"/>
      <c r="K19" s="591"/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Z19" s="591"/>
      <c r="AA19" s="591"/>
      <c r="AB19" s="591"/>
      <c r="AC19" s="591"/>
      <c r="AD19" s="591"/>
      <c r="AE19" s="591"/>
      <c r="AF19" s="591"/>
      <c r="AG19" s="591"/>
      <c r="AH19" s="591"/>
      <c r="AI19" s="591"/>
      <c r="AJ19" s="591"/>
      <c r="AK19" s="591"/>
      <c r="AL19" s="591"/>
      <c r="AM19" s="591"/>
      <c r="AN19" s="591"/>
      <c r="AO19" s="591"/>
      <c r="AP19" s="591"/>
      <c r="AQ19" s="591"/>
      <c r="AR19" s="591"/>
      <c r="AS19" s="591"/>
      <c r="AT19" s="591"/>
      <c r="AU19" s="591"/>
      <c r="AV19" s="591"/>
      <c r="AW19" s="591"/>
      <c r="AX19" s="591"/>
      <c r="AY19" s="591"/>
      <c r="AZ19" s="591"/>
      <c r="BA19" s="591"/>
      <c r="BB19" s="591"/>
      <c r="BC19" s="591"/>
      <c r="BD19" s="591"/>
      <c r="BE19" s="591"/>
      <c r="BG19" s="277">
        <f t="shared" si="19"/>
        <v>0</v>
      </c>
      <c r="BH19" s="278" t="e">
        <f t="shared" si="20"/>
        <v>#DIV/0!</v>
      </c>
      <c r="BI19" s="279" t="e">
        <f t="shared" si="21"/>
        <v>#DIV/0!</v>
      </c>
      <c r="BJ19" s="279" t="e">
        <f t="shared" si="22"/>
        <v>#DIV/0!</v>
      </c>
      <c r="BK19" s="279" t="e">
        <f t="shared" si="23"/>
        <v>#DIV/0!</v>
      </c>
      <c r="BL19" s="279" t="e">
        <f t="shared" si="24"/>
        <v>#DIV/0!</v>
      </c>
      <c r="BM19" s="279" t="e">
        <f t="shared" si="0"/>
        <v>#DIV/0!</v>
      </c>
      <c r="BN19" s="280" t="e">
        <f t="shared" si="25"/>
        <v>#DIV/0!</v>
      </c>
      <c r="BO19" s="281" t="e">
        <f t="shared" si="26"/>
        <v>#DIV/0!</v>
      </c>
      <c r="BP19" s="282" t="e">
        <f t="shared" si="27"/>
        <v>#DIV/0!</v>
      </c>
      <c r="BQ19" s="281" t="e">
        <f t="shared" si="28"/>
        <v>#DIV/0!</v>
      </c>
      <c r="BR19" s="283" t="e">
        <f t="shared" si="29"/>
        <v>#DIV/0!</v>
      </c>
      <c r="BS19" s="284" t="e">
        <f t="shared" si="1"/>
        <v>#DIV/0!</v>
      </c>
      <c r="BT19" s="311" t="e">
        <f t="shared" si="2"/>
        <v>#DIV/0!</v>
      </c>
      <c r="BU19" s="312">
        <f t="shared" si="30"/>
        <v>0</v>
      </c>
      <c r="BV19" s="287" t="e">
        <f t="shared" si="3"/>
        <v>#DIV/0!</v>
      </c>
      <c r="BW19" s="288">
        <f t="shared" si="31"/>
        <v>0</v>
      </c>
      <c r="BX19" s="289" t="e">
        <f t="shared" si="32"/>
        <v>#DIV/0!</v>
      </c>
      <c r="BY19" s="281" t="e">
        <f t="shared" si="33"/>
        <v>#DIV/0!</v>
      </c>
      <c r="BZ19" s="290" t="e">
        <f t="shared" si="34"/>
        <v>#DIV/0!</v>
      </c>
      <c r="CA19" s="313" t="e">
        <f t="shared" si="35"/>
        <v>#DIV/0!</v>
      </c>
      <c r="CB19" s="304">
        <f t="shared" si="36"/>
        <v>0</v>
      </c>
      <c r="CC19" s="294" t="e">
        <f t="shared" si="37"/>
        <v>#DIV/0!</v>
      </c>
      <c r="CD19" s="300" t="e">
        <f t="shared" si="38"/>
        <v>#DIV/0!</v>
      </c>
      <c r="CE19" s="296" t="e">
        <f t="shared" si="39"/>
        <v>#DIV/0!</v>
      </c>
      <c r="CF19" s="292" t="e">
        <f t="shared" si="40"/>
        <v>#DIV/0!</v>
      </c>
      <c r="CG19" s="292" t="e">
        <f t="shared" si="41"/>
        <v>#DIV/0!</v>
      </c>
      <c r="CH19" s="294" t="e">
        <f t="shared" si="42"/>
        <v>#DIV/0!</v>
      </c>
      <c r="CI19" s="294" t="e">
        <f t="shared" si="43"/>
        <v>#DIV/0!</v>
      </c>
      <c r="CJ19" s="295" t="e">
        <f t="shared" si="44"/>
        <v>#DIV/0!</v>
      </c>
      <c r="CK19" s="296" t="e">
        <f t="shared" si="45"/>
        <v>#DIV/0!</v>
      </c>
      <c r="CL19" s="295" t="e">
        <f t="shared" si="46"/>
        <v>#DIV/0!</v>
      </c>
      <c r="CM19" s="297" t="e">
        <f t="shared" si="47"/>
        <v>#DIV/0!</v>
      </c>
      <c r="CN19" s="298" t="e">
        <f t="shared" si="48"/>
        <v>#DIV/0!</v>
      </c>
      <c r="CO19" s="299" t="e">
        <f t="shared" si="49"/>
        <v>#DIV/0!</v>
      </c>
      <c r="CP19" s="296" t="e">
        <f t="shared" si="50"/>
        <v>#DIV/0!</v>
      </c>
      <c r="CQ19" s="294" t="e">
        <f t="shared" si="51"/>
        <v>#DIV/0!</v>
      </c>
      <c r="CR19" s="294" t="e">
        <f t="shared" si="52"/>
        <v>#DIV/0!</v>
      </c>
      <c r="CS19" s="295" t="e">
        <f t="shared" si="70"/>
        <v>#DIV/0!</v>
      </c>
      <c r="CT19" s="300" t="e">
        <f t="shared" si="71"/>
        <v>#DIV/0!</v>
      </c>
      <c r="CU19" s="314" t="e">
        <f t="shared" si="53"/>
        <v>#DIV/0!</v>
      </c>
      <c r="CV19" s="315" t="e">
        <f t="shared" si="54"/>
        <v>#DIV/0!</v>
      </c>
      <c r="CW19" s="303">
        <f t="shared" si="55"/>
        <v>0</v>
      </c>
      <c r="CX19" s="304">
        <f t="shared" si="56"/>
        <v>0</v>
      </c>
      <c r="CY19" s="304">
        <f t="shared" si="57"/>
        <v>0</v>
      </c>
      <c r="CZ19" s="304">
        <f t="shared" si="58"/>
        <v>0</v>
      </c>
      <c r="DA19" s="304">
        <f t="shared" si="58"/>
        <v>0</v>
      </c>
      <c r="DB19" s="304">
        <f t="shared" si="59"/>
        <v>0</v>
      </c>
      <c r="DC19" s="304">
        <f t="shared" si="60"/>
        <v>0</v>
      </c>
      <c r="DD19" s="304">
        <f t="shared" si="60"/>
        <v>0</v>
      </c>
      <c r="DE19" s="304">
        <f t="shared" si="61"/>
        <v>0</v>
      </c>
      <c r="DF19" s="304">
        <f t="shared" si="62"/>
        <v>0</v>
      </c>
      <c r="DG19" s="304">
        <f t="shared" si="62"/>
        <v>0</v>
      </c>
      <c r="DH19" s="304">
        <f t="shared" si="62"/>
        <v>0</v>
      </c>
      <c r="DI19" s="304">
        <f t="shared" si="62"/>
        <v>0</v>
      </c>
      <c r="DJ19" s="304">
        <f t="shared" si="63"/>
        <v>0</v>
      </c>
      <c r="DK19" s="305">
        <f t="shared" si="63"/>
        <v>0</v>
      </c>
      <c r="DL19" s="269">
        <f t="shared" si="5"/>
        <v>0</v>
      </c>
      <c r="DM19" s="305">
        <f t="shared" si="64"/>
        <v>0</v>
      </c>
      <c r="DN19" s="271">
        <f t="shared" si="65"/>
        <v>0</v>
      </c>
      <c r="DO19" s="306" t="e">
        <f t="shared" si="72"/>
        <v>#DIV/0!</v>
      </c>
      <c r="DP19" s="307" t="e">
        <f t="shared" si="73"/>
        <v>#DIV/0!</v>
      </c>
      <c r="DQ19" s="307" t="e">
        <f t="shared" si="74"/>
        <v>#DIV/0!</v>
      </c>
      <c r="DR19" s="307" t="e">
        <f t="shared" si="75"/>
        <v>#DIV/0!</v>
      </c>
      <c r="DS19" s="307" t="e">
        <f t="shared" si="76"/>
        <v>#DIV/0!</v>
      </c>
      <c r="DT19" s="308" t="e">
        <f t="shared" si="77"/>
        <v>#DIV/0!</v>
      </c>
      <c r="DU19" s="309" t="e">
        <f t="shared" si="78"/>
        <v>#DIV/0!</v>
      </c>
      <c r="DV19" s="307" t="e">
        <f t="shared" si="79"/>
        <v>#DIV/0!</v>
      </c>
      <c r="DW19" s="307" t="e">
        <f t="shared" si="80"/>
        <v>#DIV/0!</v>
      </c>
      <c r="DX19" s="310" t="e">
        <f t="shared" si="81"/>
        <v>#DIV/0!</v>
      </c>
      <c r="DY19" s="309" t="e">
        <f t="shared" si="82"/>
        <v>#DIV/0!</v>
      </c>
      <c r="DZ19" s="307" t="e">
        <f t="shared" si="83"/>
        <v>#DIV/0!</v>
      </c>
      <c r="EA19" s="310" t="e">
        <f t="shared" si="84"/>
        <v>#DIV/0!</v>
      </c>
      <c r="EB19" s="445" t="e">
        <f t="shared" si="66"/>
        <v>#DIV/0!</v>
      </c>
      <c r="EC19" s="414" t="e">
        <f t="shared" si="67"/>
        <v>#DIV/0!</v>
      </c>
      <c r="ED19" s="414" t="e">
        <f t="shared" si="68"/>
        <v>#DIV/0!</v>
      </c>
      <c r="EE19" s="307"/>
      <c r="EF19" s="307"/>
      <c r="EG19" s="310">
        <f t="shared" si="18"/>
        <v>0</v>
      </c>
      <c r="EH19" s="627" t="str">
        <f t="shared" si="69"/>
        <v/>
      </c>
      <c r="EI19" s="628"/>
      <c r="EJ19" s="629"/>
      <c r="EK19" s="630"/>
      <c r="EL19" s="629"/>
      <c r="EM19" s="630"/>
      <c r="EN19" s="629"/>
    </row>
    <row r="20" spans="1:144" s="209" customFormat="1" x14ac:dyDescent="0.15">
      <c r="A20" s="594" t="e">
        <f t="shared" ref="A20:BE20" si="85">INDEX(A3:A18,MATCH(MIN($P$3:$P$18),$P$3:$P$18,0))</f>
        <v>#N/A</v>
      </c>
      <c r="B20" s="594" t="e">
        <f t="shared" si="85"/>
        <v>#N/A</v>
      </c>
      <c r="C20" s="594" t="e">
        <f t="shared" si="85"/>
        <v>#N/A</v>
      </c>
      <c r="D20" s="594" t="e">
        <f t="shared" si="85"/>
        <v>#N/A</v>
      </c>
      <c r="E20" s="594" t="e">
        <f t="shared" si="85"/>
        <v>#N/A</v>
      </c>
      <c r="F20" s="594" t="e">
        <f t="shared" si="85"/>
        <v>#N/A</v>
      </c>
      <c r="G20" s="594" t="e">
        <f t="shared" si="85"/>
        <v>#N/A</v>
      </c>
      <c r="H20" s="594" t="e">
        <f t="shared" si="85"/>
        <v>#N/A</v>
      </c>
      <c r="I20" s="594" t="e">
        <f t="shared" si="85"/>
        <v>#N/A</v>
      </c>
      <c r="J20" s="594" t="e">
        <f t="shared" si="85"/>
        <v>#N/A</v>
      </c>
      <c r="K20" s="594" t="e">
        <f t="shared" si="85"/>
        <v>#N/A</v>
      </c>
      <c r="L20" s="594" t="e">
        <f t="shared" si="85"/>
        <v>#N/A</v>
      </c>
      <c r="M20" s="594" t="e">
        <f t="shared" si="85"/>
        <v>#N/A</v>
      </c>
      <c r="N20" s="594" t="e">
        <f t="shared" si="85"/>
        <v>#N/A</v>
      </c>
      <c r="O20" s="594" t="e">
        <f t="shared" si="85"/>
        <v>#N/A</v>
      </c>
      <c r="P20" s="594" t="e">
        <f t="shared" si="85"/>
        <v>#N/A</v>
      </c>
      <c r="Q20" s="594" t="e">
        <f t="shared" si="85"/>
        <v>#N/A</v>
      </c>
      <c r="R20" s="594" t="e">
        <f t="shared" si="85"/>
        <v>#N/A</v>
      </c>
      <c r="S20" s="594" t="e">
        <f t="shared" si="85"/>
        <v>#N/A</v>
      </c>
      <c r="T20" s="594" t="e">
        <f t="shared" si="85"/>
        <v>#N/A</v>
      </c>
      <c r="U20" s="594" t="e">
        <f t="shared" si="85"/>
        <v>#N/A</v>
      </c>
      <c r="V20" s="594" t="e">
        <f t="shared" si="85"/>
        <v>#N/A</v>
      </c>
      <c r="W20" s="594" t="e">
        <f t="shared" si="85"/>
        <v>#N/A</v>
      </c>
      <c r="X20" s="594" t="e">
        <f t="shared" si="85"/>
        <v>#N/A</v>
      </c>
      <c r="Y20" s="594" t="e">
        <f t="shared" si="85"/>
        <v>#N/A</v>
      </c>
      <c r="Z20" s="594" t="e">
        <f t="shared" si="85"/>
        <v>#N/A</v>
      </c>
      <c r="AA20" s="594" t="e">
        <f t="shared" si="85"/>
        <v>#N/A</v>
      </c>
      <c r="AB20" s="594" t="e">
        <f t="shared" si="85"/>
        <v>#N/A</v>
      </c>
      <c r="AC20" s="594" t="e">
        <f t="shared" si="85"/>
        <v>#N/A</v>
      </c>
      <c r="AD20" s="594" t="e">
        <f t="shared" si="85"/>
        <v>#N/A</v>
      </c>
      <c r="AE20" s="594" t="e">
        <f t="shared" si="85"/>
        <v>#N/A</v>
      </c>
      <c r="AF20" s="594" t="e">
        <f t="shared" si="85"/>
        <v>#N/A</v>
      </c>
      <c r="AG20" s="594" t="e">
        <f t="shared" si="85"/>
        <v>#N/A</v>
      </c>
      <c r="AH20" s="594" t="e">
        <f t="shared" si="85"/>
        <v>#N/A</v>
      </c>
      <c r="AI20" s="594" t="e">
        <f t="shared" si="85"/>
        <v>#N/A</v>
      </c>
      <c r="AJ20" s="594" t="e">
        <f t="shared" si="85"/>
        <v>#N/A</v>
      </c>
      <c r="AK20" s="594" t="e">
        <f t="shared" si="85"/>
        <v>#N/A</v>
      </c>
      <c r="AL20" s="594" t="e">
        <f t="shared" si="85"/>
        <v>#N/A</v>
      </c>
      <c r="AM20" s="594" t="e">
        <f t="shared" si="85"/>
        <v>#N/A</v>
      </c>
      <c r="AN20" s="594" t="e">
        <f t="shared" si="85"/>
        <v>#N/A</v>
      </c>
      <c r="AO20" s="594" t="e">
        <f t="shared" si="85"/>
        <v>#N/A</v>
      </c>
      <c r="AP20" s="594" t="e">
        <f t="shared" si="85"/>
        <v>#N/A</v>
      </c>
      <c r="AQ20" s="594" t="e">
        <f t="shared" si="85"/>
        <v>#N/A</v>
      </c>
      <c r="AR20" s="594" t="e">
        <f t="shared" si="85"/>
        <v>#N/A</v>
      </c>
      <c r="AS20" s="594" t="e">
        <f t="shared" si="85"/>
        <v>#N/A</v>
      </c>
      <c r="AT20" s="594" t="e">
        <f t="shared" si="85"/>
        <v>#N/A</v>
      </c>
      <c r="AU20" s="594" t="e">
        <f t="shared" si="85"/>
        <v>#N/A</v>
      </c>
      <c r="AV20" s="594" t="e">
        <f t="shared" si="85"/>
        <v>#N/A</v>
      </c>
      <c r="AW20" s="594" t="e">
        <f t="shared" si="85"/>
        <v>#N/A</v>
      </c>
      <c r="AX20" s="594" t="e">
        <f t="shared" si="85"/>
        <v>#N/A</v>
      </c>
      <c r="AY20" s="594" t="e">
        <f t="shared" si="85"/>
        <v>#N/A</v>
      </c>
      <c r="AZ20" s="594" t="e">
        <f t="shared" si="85"/>
        <v>#N/A</v>
      </c>
      <c r="BA20" s="594" t="e">
        <f t="shared" si="85"/>
        <v>#N/A</v>
      </c>
      <c r="BB20" s="594" t="e">
        <f t="shared" si="85"/>
        <v>#N/A</v>
      </c>
      <c r="BC20" s="594" t="e">
        <f t="shared" si="85"/>
        <v>#N/A</v>
      </c>
      <c r="BD20" s="594" t="e">
        <f t="shared" si="85"/>
        <v>#N/A</v>
      </c>
      <c r="BE20" s="594" t="e">
        <f t="shared" si="85"/>
        <v>#N/A</v>
      </c>
      <c r="BG20" s="277" t="e">
        <f t="shared" si="19"/>
        <v>#N/A</v>
      </c>
      <c r="BH20" s="278" t="e">
        <f t="shared" si="20"/>
        <v>#N/A</v>
      </c>
      <c r="BI20" s="279" t="e">
        <f t="shared" si="21"/>
        <v>#N/A</v>
      </c>
      <c r="BJ20" s="279" t="e">
        <f t="shared" si="22"/>
        <v>#N/A</v>
      </c>
      <c r="BK20" s="279" t="e">
        <f t="shared" si="23"/>
        <v>#N/A</v>
      </c>
      <c r="BL20" s="279" t="e">
        <f t="shared" si="24"/>
        <v>#N/A</v>
      </c>
      <c r="BM20" s="279" t="e">
        <f t="shared" si="0"/>
        <v>#N/A</v>
      </c>
      <c r="BN20" s="280" t="e">
        <f t="shared" si="25"/>
        <v>#N/A</v>
      </c>
      <c r="BO20" s="281" t="e">
        <f t="shared" si="26"/>
        <v>#N/A</v>
      </c>
      <c r="BP20" s="282" t="e">
        <f t="shared" si="27"/>
        <v>#N/A</v>
      </c>
      <c r="BQ20" s="281" t="e">
        <f t="shared" si="28"/>
        <v>#N/A</v>
      </c>
      <c r="BR20" s="283" t="e">
        <f t="shared" si="29"/>
        <v>#N/A</v>
      </c>
      <c r="BS20" s="284" t="e">
        <f t="shared" si="1"/>
        <v>#N/A</v>
      </c>
      <c r="BT20" s="311" t="e">
        <f t="shared" si="2"/>
        <v>#N/A</v>
      </c>
      <c r="BU20" s="312" t="e">
        <f t="shared" si="30"/>
        <v>#N/A</v>
      </c>
      <c r="BV20" s="287" t="e">
        <f t="shared" si="3"/>
        <v>#N/A</v>
      </c>
      <c r="BW20" s="288" t="e">
        <f t="shared" si="31"/>
        <v>#N/A</v>
      </c>
      <c r="BX20" s="289" t="e">
        <f t="shared" si="32"/>
        <v>#N/A</v>
      </c>
      <c r="BY20" s="281" t="e">
        <f t="shared" si="33"/>
        <v>#N/A</v>
      </c>
      <c r="BZ20" s="290" t="e">
        <f t="shared" si="34"/>
        <v>#N/A</v>
      </c>
      <c r="CA20" s="313" t="e">
        <f t="shared" si="35"/>
        <v>#N/A</v>
      </c>
      <c r="CB20" s="304" t="e">
        <f t="shared" si="36"/>
        <v>#N/A</v>
      </c>
      <c r="CC20" s="294" t="e">
        <f t="shared" si="37"/>
        <v>#N/A</v>
      </c>
      <c r="CD20" s="300" t="e">
        <f t="shared" si="38"/>
        <v>#N/A</v>
      </c>
      <c r="CE20" s="296" t="e">
        <f t="shared" si="39"/>
        <v>#N/A</v>
      </c>
      <c r="CF20" s="292" t="e">
        <f t="shared" si="40"/>
        <v>#N/A</v>
      </c>
      <c r="CG20" s="292" t="e">
        <f t="shared" si="41"/>
        <v>#N/A</v>
      </c>
      <c r="CH20" s="294" t="e">
        <f t="shared" si="42"/>
        <v>#N/A</v>
      </c>
      <c r="CI20" s="294" t="e">
        <f t="shared" si="43"/>
        <v>#N/A</v>
      </c>
      <c r="CJ20" s="295" t="e">
        <f t="shared" si="44"/>
        <v>#N/A</v>
      </c>
      <c r="CK20" s="296" t="e">
        <f t="shared" si="45"/>
        <v>#N/A</v>
      </c>
      <c r="CL20" s="295" t="e">
        <f t="shared" si="46"/>
        <v>#N/A</v>
      </c>
      <c r="CM20" s="297" t="e">
        <f t="shared" si="47"/>
        <v>#N/A</v>
      </c>
      <c r="CN20" s="298" t="e">
        <f t="shared" si="48"/>
        <v>#N/A</v>
      </c>
      <c r="CO20" s="299" t="e">
        <f t="shared" si="49"/>
        <v>#N/A</v>
      </c>
      <c r="CP20" s="296" t="e">
        <f t="shared" si="50"/>
        <v>#N/A</v>
      </c>
      <c r="CQ20" s="294" t="e">
        <f t="shared" si="51"/>
        <v>#N/A</v>
      </c>
      <c r="CR20" s="294" t="e">
        <f t="shared" si="52"/>
        <v>#N/A</v>
      </c>
      <c r="CS20" s="295" t="e">
        <f t="shared" si="70"/>
        <v>#N/A</v>
      </c>
      <c r="CT20" s="300" t="e">
        <f t="shared" si="71"/>
        <v>#N/A</v>
      </c>
      <c r="CU20" s="314" t="e">
        <f t="shared" si="53"/>
        <v>#N/A</v>
      </c>
      <c r="CV20" s="315" t="e">
        <f t="shared" si="54"/>
        <v>#N/A</v>
      </c>
      <c r="CW20" s="303" t="e">
        <f t="shared" si="55"/>
        <v>#N/A</v>
      </c>
      <c r="CX20" s="304" t="e">
        <f t="shared" si="56"/>
        <v>#N/A</v>
      </c>
      <c r="CY20" s="304" t="e">
        <f t="shared" si="57"/>
        <v>#N/A</v>
      </c>
      <c r="CZ20" s="304" t="e">
        <f t="shared" si="58"/>
        <v>#N/A</v>
      </c>
      <c r="DA20" s="304" t="e">
        <f t="shared" si="58"/>
        <v>#N/A</v>
      </c>
      <c r="DB20" s="304" t="e">
        <f t="shared" si="59"/>
        <v>#N/A</v>
      </c>
      <c r="DC20" s="304" t="e">
        <f t="shared" si="60"/>
        <v>#N/A</v>
      </c>
      <c r="DD20" s="304" t="e">
        <f t="shared" si="60"/>
        <v>#N/A</v>
      </c>
      <c r="DE20" s="304" t="e">
        <f t="shared" si="61"/>
        <v>#N/A</v>
      </c>
      <c r="DF20" s="304" t="e">
        <f t="shared" si="62"/>
        <v>#N/A</v>
      </c>
      <c r="DG20" s="304" t="e">
        <f t="shared" si="62"/>
        <v>#N/A</v>
      </c>
      <c r="DH20" s="304" t="e">
        <f t="shared" si="62"/>
        <v>#N/A</v>
      </c>
      <c r="DI20" s="304" t="e">
        <f t="shared" si="62"/>
        <v>#N/A</v>
      </c>
      <c r="DJ20" s="304" t="e">
        <f t="shared" si="63"/>
        <v>#N/A</v>
      </c>
      <c r="DK20" s="305" t="e">
        <f t="shared" si="63"/>
        <v>#N/A</v>
      </c>
      <c r="DL20" s="269" t="e">
        <f t="shared" si="5"/>
        <v>#N/A</v>
      </c>
      <c r="DM20" s="305" t="e">
        <f t="shared" si="64"/>
        <v>#N/A</v>
      </c>
      <c r="DN20" s="271" t="e">
        <f t="shared" si="65"/>
        <v>#N/A</v>
      </c>
      <c r="DO20" s="306" t="e">
        <f t="shared" si="72"/>
        <v>#N/A</v>
      </c>
      <c r="DP20" s="307" t="e">
        <f t="shared" si="73"/>
        <v>#N/A</v>
      </c>
      <c r="DQ20" s="307" t="e">
        <f t="shared" si="74"/>
        <v>#N/A</v>
      </c>
      <c r="DR20" s="307" t="e">
        <f t="shared" si="75"/>
        <v>#N/A</v>
      </c>
      <c r="DS20" s="307" t="e">
        <f t="shared" si="76"/>
        <v>#N/A</v>
      </c>
      <c r="DT20" s="308" t="e">
        <f t="shared" si="77"/>
        <v>#N/A</v>
      </c>
      <c r="DU20" s="309" t="e">
        <f t="shared" si="78"/>
        <v>#N/A</v>
      </c>
      <c r="DV20" s="307" t="e">
        <f t="shared" si="79"/>
        <v>#N/A</v>
      </c>
      <c r="DW20" s="307" t="e">
        <f t="shared" si="80"/>
        <v>#N/A</v>
      </c>
      <c r="DX20" s="310" t="e">
        <f t="shared" si="81"/>
        <v>#N/A</v>
      </c>
      <c r="DY20" s="309" t="e">
        <f t="shared" si="82"/>
        <v>#N/A</v>
      </c>
      <c r="DZ20" s="307" t="e">
        <f t="shared" si="83"/>
        <v>#N/A</v>
      </c>
      <c r="EA20" s="310" t="e">
        <f t="shared" si="84"/>
        <v>#N/A</v>
      </c>
      <c r="EB20" s="445" t="e">
        <f t="shared" si="66"/>
        <v>#N/A</v>
      </c>
      <c r="EC20" s="414" t="e">
        <f t="shared" si="67"/>
        <v>#N/A</v>
      </c>
      <c r="ED20" s="414" t="e">
        <f t="shared" si="68"/>
        <v>#N/A</v>
      </c>
      <c r="EE20" s="307"/>
      <c r="EF20" s="307"/>
      <c r="EG20" s="310">
        <f t="shared" si="18"/>
        <v>0</v>
      </c>
      <c r="EH20" s="627" t="str">
        <f t="shared" si="69"/>
        <v/>
      </c>
      <c r="EI20" s="628"/>
      <c r="EJ20" s="629"/>
      <c r="EK20" s="630"/>
      <c r="EL20" s="629"/>
      <c r="EM20" s="630"/>
      <c r="EN20" s="629"/>
    </row>
    <row r="21" spans="1:144" s="209" customFormat="1" x14ac:dyDescent="0.15">
      <c r="A21" s="590"/>
      <c r="B21" s="591"/>
      <c r="C21" s="591"/>
      <c r="D21" s="591"/>
      <c r="E21" s="591"/>
      <c r="F21" s="591"/>
      <c r="G21" s="591"/>
      <c r="H21" s="591"/>
      <c r="I21" s="591"/>
      <c r="J21" s="591"/>
      <c r="K21" s="59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Z21" s="591"/>
      <c r="AA21" s="591"/>
      <c r="AB21" s="591"/>
      <c r="AC21" s="591"/>
      <c r="AD21" s="591"/>
      <c r="AE21" s="591"/>
      <c r="AF21" s="591"/>
      <c r="AG21" s="591"/>
      <c r="AH21" s="591"/>
      <c r="AI21" s="591"/>
      <c r="AJ21" s="591"/>
      <c r="AK21" s="591"/>
      <c r="AL21" s="591"/>
      <c r="AM21" s="591"/>
      <c r="AN21" s="591"/>
      <c r="AO21" s="591"/>
      <c r="AP21" s="591"/>
      <c r="AQ21" s="591"/>
      <c r="AR21" s="591"/>
      <c r="AS21" s="591"/>
      <c r="AT21" s="591"/>
      <c r="AU21" s="591"/>
      <c r="AV21" s="591"/>
      <c r="AW21" s="591"/>
      <c r="AX21" s="591"/>
      <c r="AY21" s="591"/>
      <c r="AZ21" s="591"/>
      <c r="BA21" s="591"/>
      <c r="BB21" s="591"/>
      <c r="BC21" s="591"/>
      <c r="BD21" s="591"/>
      <c r="BE21" s="591"/>
      <c r="BG21" s="277">
        <f t="shared" si="19"/>
        <v>0</v>
      </c>
      <c r="BH21" s="278" t="e">
        <f t="shared" si="20"/>
        <v>#DIV/0!</v>
      </c>
      <c r="BI21" s="279" t="e">
        <f t="shared" si="21"/>
        <v>#DIV/0!</v>
      </c>
      <c r="BJ21" s="279" t="e">
        <f t="shared" si="22"/>
        <v>#DIV/0!</v>
      </c>
      <c r="BK21" s="279" t="e">
        <f t="shared" si="23"/>
        <v>#DIV/0!</v>
      </c>
      <c r="BL21" s="279" t="e">
        <f t="shared" si="24"/>
        <v>#DIV/0!</v>
      </c>
      <c r="BM21" s="279" t="e">
        <f t="shared" si="0"/>
        <v>#DIV/0!</v>
      </c>
      <c r="BN21" s="280" t="e">
        <f t="shared" si="25"/>
        <v>#DIV/0!</v>
      </c>
      <c r="BO21" s="281" t="e">
        <f t="shared" si="26"/>
        <v>#DIV/0!</v>
      </c>
      <c r="BP21" s="282" t="e">
        <f t="shared" si="27"/>
        <v>#DIV/0!</v>
      </c>
      <c r="BQ21" s="281" t="e">
        <f t="shared" si="28"/>
        <v>#DIV/0!</v>
      </c>
      <c r="BR21" s="283" t="e">
        <f t="shared" si="29"/>
        <v>#DIV/0!</v>
      </c>
      <c r="BS21" s="284" t="e">
        <f t="shared" si="1"/>
        <v>#DIV/0!</v>
      </c>
      <c r="BT21" s="311" t="e">
        <f t="shared" si="2"/>
        <v>#DIV/0!</v>
      </c>
      <c r="BU21" s="312">
        <f t="shared" si="30"/>
        <v>0</v>
      </c>
      <c r="BV21" s="287" t="e">
        <f t="shared" si="3"/>
        <v>#DIV/0!</v>
      </c>
      <c r="BW21" s="288">
        <f t="shared" si="31"/>
        <v>0</v>
      </c>
      <c r="BX21" s="289" t="e">
        <f t="shared" si="32"/>
        <v>#DIV/0!</v>
      </c>
      <c r="BY21" s="281" t="e">
        <f t="shared" si="33"/>
        <v>#DIV/0!</v>
      </c>
      <c r="BZ21" s="290" t="e">
        <f t="shared" si="34"/>
        <v>#DIV/0!</v>
      </c>
      <c r="CA21" s="313" t="e">
        <f t="shared" si="35"/>
        <v>#DIV/0!</v>
      </c>
      <c r="CB21" s="304">
        <f t="shared" si="36"/>
        <v>0</v>
      </c>
      <c r="CC21" s="294" t="e">
        <f t="shared" si="37"/>
        <v>#DIV/0!</v>
      </c>
      <c r="CD21" s="300" t="e">
        <f t="shared" si="38"/>
        <v>#DIV/0!</v>
      </c>
      <c r="CE21" s="296" t="e">
        <f t="shared" si="39"/>
        <v>#DIV/0!</v>
      </c>
      <c r="CF21" s="292" t="e">
        <f t="shared" si="40"/>
        <v>#DIV/0!</v>
      </c>
      <c r="CG21" s="292" t="e">
        <f t="shared" si="41"/>
        <v>#DIV/0!</v>
      </c>
      <c r="CH21" s="294" t="e">
        <f t="shared" si="42"/>
        <v>#DIV/0!</v>
      </c>
      <c r="CI21" s="294" t="e">
        <f t="shared" si="43"/>
        <v>#DIV/0!</v>
      </c>
      <c r="CJ21" s="295" t="e">
        <f t="shared" si="44"/>
        <v>#DIV/0!</v>
      </c>
      <c r="CK21" s="296" t="e">
        <f t="shared" si="45"/>
        <v>#DIV/0!</v>
      </c>
      <c r="CL21" s="295" t="e">
        <f t="shared" si="46"/>
        <v>#DIV/0!</v>
      </c>
      <c r="CM21" s="297" t="e">
        <f t="shared" si="47"/>
        <v>#DIV/0!</v>
      </c>
      <c r="CN21" s="298" t="e">
        <f t="shared" si="48"/>
        <v>#DIV/0!</v>
      </c>
      <c r="CO21" s="299" t="e">
        <f t="shared" si="49"/>
        <v>#DIV/0!</v>
      </c>
      <c r="CP21" s="296" t="e">
        <f t="shared" si="50"/>
        <v>#DIV/0!</v>
      </c>
      <c r="CQ21" s="294" t="e">
        <f t="shared" si="51"/>
        <v>#DIV/0!</v>
      </c>
      <c r="CR21" s="294" t="e">
        <f t="shared" si="52"/>
        <v>#DIV/0!</v>
      </c>
      <c r="CS21" s="295" t="e">
        <f t="shared" si="70"/>
        <v>#DIV/0!</v>
      </c>
      <c r="CT21" s="300" t="e">
        <f t="shared" si="71"/>
        <v>#DIV/0!</v>
      </c>
      <c r="CU21" s="314" t="e">
        <f t="shared" si="53"/>
        <v>#DIV/0!</v>
      </c>
      <c r="CV21" s="315" t="e">
        <f t="shared" si="54"/>
        <v>#DIV/0!</v>
      </c>
      <c r="CW21" s="303">
        <f t="shared" si="55"/>
        <v>0</v>
      </c>
      <c r="CX21" s="304">
        <f t="shared" si="56"/>
        <v>0</v>
      </c>
      <c r="CY21" s="304">
        <f t="shared" si="57"/>
        <v>0</v>
      </c>
      <c r="CZ21" s="304">
        <f t="shared" si="58"/>
        <v>0</v>
      </c>
      <c r="DA21" s="304">
        <f t="shared" si="58"/>
        <v>0</v>
      </c>
      <c r="DB21" s="304">
        <f t="shared" si="59"/>
        <v>0</v>
      </c>
      <c r="DC21" s="304">
        <f t="shared" si="60"/>
        <v>0</v>
      </c>
      <c r="DD21" s="304">
        <f t="shared" si="60"/>
        <v>0</v>
      </c>
      <c r="DE21" s="304">
        <f t="shared" si="61"/>
        <v>0</v>
      </c>
      <c r="DF21" s="304">
        <f t="shared" si="62"/>
        <v>0</v>
      </c>
      <c r="DG21" s="304">
        <f t="shared" si="62"/>
        <v>0</v>
      </c>
      <c r="DH21" s="304">
        <f t="shared" si="62"/>
        <v>0</v>
      </c>
      <c r="DI21" s="304">
        <f t="shared" si="62"/>
        <v>0</v>
      </c>
      <c r="DJ21" s="304">
        <f t="shared" si="63"/>
        <v>0</v>
      </c>
      <c r="DK21" s="305">
        <f t="shared" si="63"/>
        <v>0</v>
      </c>
      <c r="DL21" s="269">
        <f t="shared" si="5"/>
        <v>0</v>
      </c>
      <c r="DM21" s="305">
        <f t="shared" si="64"/>
        <v>0</v>
      </c>
      <c r="DN21" s="271">
        <f t="shared" si="65"/>
        <v>0</v>
      </c>
      <c r="DO21" s="306" t="e">
        <f t="shared" si="72"/>
        <v>#DIV/0!</v>
      </c>
      <c r="DP21" s="307" t="e">
        <f t="shared" si="73"/>
        <v>#DIV/0!</v>
      </c>
      <c r="DQ21" s="307" t="e">
        <f t="shared" si="74"/>
        <v>#DIV/0!</v>
      </c>
      <c r="DR21" s="307" t="e">
        <f t="shared" si="75"/>
        <v>#DIV/0!</v>
      </c>
      <c r="DS21" s="307" t="e">
        <f t="shared" si="76"/>
        <v>#DIV/0!</v>
      </c>
      <c r="DT21" s="308" t="e">
        <f t="shared" si="77"/>
        <v>#DIV/0!</v>
      </c>
      <c r="DU21" s="309" t="e">
        <f t="shared" si="78"/>
        <v>#DIV/0!</v>
      </c>
      <c r="DV21" s="307" t="e">
        <f t="shared" si="79"/>
        <v>#DIV/0!</v>
      </c>
      <c r="DW21" s="307" t="e">
        <f t="shared" si="80"/>
        <v>#DIV/0!</v>
      </c>
      <c r="DX21" s="310" t="e">
        <f t="shared" si="81"/>
        <v>#DIV/0!</v>
      </c>
      <c r="DY21" s="309" t="e">
        <f t="shared" si="82"/>
        <v>#DIV/0!</v>
      </c>
      <c r="DZ21" s="307" t="e">
        <f t="shared" si="83"/>
        <v>#DIV/0!</v>
      </c>
      <c r="EA21" s="310" t="e">
        <f t="shared" si="84"/>
        <v>#DIV/0!</v>
      </c>
      <c r="EB21" s="445" t="e">
        <f t="shared" si="66"/>
        <v>#DIV/0!</v>
      </c>
      <c r="EC21" s="414" t="e">
        <f t="shared" si="67"/>
        <v>#DIV/0!</v>
      </c>
      <c r="ED21" s="414" t="e">
        <f t="shared" si="68"/>
        <v>#DIV/0!</v>
      </c>
      <c r="EE21" s="307"/>
      <c r="EF21" s="307"/>
      <c r="EG21" s="310">
        <f t="shared" si="18"/>
        <v>0</v>
      </c>
      <c r="EH21" s="627" t="str">
        <f t="shared" si="69"/>
        <v/>
      </c>
      <c r="EI21" s="628"/>
      <c r="EJ21" s="629"/>
      <c r="EK21" s="630"/>
      <c r="EL21" s="629"/>
      <c r="EM21" s="630"/>
      <c r="EN21" s="629"/>
    </row>
    <row r="22" spans="1:144" s="209" customFormat="1" ht="12" thickBot="1" x14ac:dyDescent="0.2">
      <c r="A22" s="592"/>
      <c r="B22" s="593"/>
      <c r="C22" s="593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593"/>
      <c r="Y22" s="593"/>
      <c r="Z22" s="593"/>
      <c r="AA22" s="593"/>
      <c r="AB22" s="593"/>
      <c r="AC22" s="593"/>
      <c r="AD22" s="593"/>
      <c r="AE22" s="593"/>
      <c r="AF22" s="59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  <c r="AQ22" s="593"/>
      <c r="AR22" s="593"/>
      <c r="AS22" s="593"/>
      <c r="AT22" s="593"/>
      <c r="AU22" s="593"/>
      <c r="AV22" s="593"/>
      <c r="AW22" s="593"/>
      <c r="AX22" s="593"/>
      <c r="AY22" s="593"/>
      <c r="AZ22" s="593"/>
      <c r="BA22" s="593"/>
      <c r="BB22" s="593"/>
      <c r="BC22" s="593"/>
      <c r="BD22" s="593"/>
      <c r="BE22" s="593"/>
      <c r="BG22" s="316">
        <f t="shared" si="19"/>
        <v>0</v>
      </c>
      <c r="BH22" s="317" t="e">
        <f t="shared" si="20"/>
        <v>#DIV/0!</v>
      </c>
      <c r="BI22" s="318" t="e">
        <f t="shared" si="21"/>
        <v>#DIV/0!</v>
      </c>
      <c r="BJ22" s="318" t="e">
        <f t="shared" si="22"/>
        <v>#DIV/0!</v>
      </c>
      <c r="BK22" s="318" t="e">
        <f t="shared" si="23"/>
        <v>#DIV/0!</v>
      </c>
      <c r="BL22" s="318" t="e">
        <f t="shared" si="24"/>
        <v>#DIV/0!</v>
      </c>
      <c r="BM22" s="318" t="e">
        <f t="shared" si="0"/>
        <v>#DIV/0!</v>
      </c>
      <c r="BN22" s="319" t="e">
        <f t="shared" si="25"/>
        <v>#DIV/0!</v>
      </c>
      <c r="BO22" s="320" t="e">
        <f t="shared" si="26"/>
        <v>#DIV/0!</v>
      </c>
      <c r="BP22" s="321" t="e">
        <f t="shared" si="27"/>
        <v>#DIV/0!</v>
      </c>
      <c r="BQ22" s="320" t="e">
        <f t="shared" si="28"/>
        <v>#DIV/0!</v>
      </c>
      <c r="BR22" s="322" t="e">
        <f t="shared" si="29"/>
        <v>#DIV/0!</v>
      </c>
      <c r="BS22" s="323" t="e">
        <f t="shared" si="1"/>
        <v>#DIV/0!</v>
      </c>
      <c r="BT22" s="324" t="e">
        <f t="shared" si="2"/>
        <v>#DIV/0!</v>
      </c>
      <c r="BU22" s="325">
        <f t="shared" si="30"/>
        <v>0</v>
      </c>
      <c r="BV22" s="326" t="e">
        <f t="shared" si="3"/>
        <v>#DIV/0!</v>
      </c>
      <c r="BW22" s="327">
        <f t="shared" si="31"/>
        <v>0</v>
      </c>
      <c r="BX22" s="328" t="e">
        <f t="shared" si="32"/>
        <v>#DIV/0!</v>
      </c>
      <c r="BY22" s="320" t="e">
        <f t="shared" si="33"/>
        <v>#DIV/0!</v>
      </c>
      <c r="BZ22" s="329" t="e">
        <f t="shared" si="34"/>
        <v>#DIV/0!</v>
      </c>
      <c r="CA22" s="330" t="e">
        <f t="shared" si="35"/>
        <v>#DIV/0!</v>
      </c>
      <c r="CB22" s="331">
        <f t="shared" si="36"/>
        <v>0</v>
      </c>
      <c r="CC22" s="479" t="e">
        <f t="shared" si="37"/>
        <v>#DIV/0!</v>
      </c>
      <c r="CD22" s="480" t="e">
        <f t="shared" si="38"/>
        <v>#DIV/0!</v>
      </c>
      <c r="CE22" s="334" t="e">
        <f t="shared" si="39"/>
        <v>#DIV/0!</v>
      </c>
      <c r="CF22" s="335" t="e">
        <f t="shared" si="40"/>
        <v>#DIV/0!</v>
      </c>
      <c r="CG22" s="335" t="e">
        <f t="shared" si="41"/>
        <v>#DIV/0!</v>
      </c>
      <c r="CH22" s="332" t="e">
        <f t="shared" si="42"/>
        <v>#DIV/0!</v>
      </c>
      <c r="CI22" s="332" t="e">
        <f t="shared" si="43"/>
        <v>#DIV/0!</v>
      </c>
      <c r="CJ22" s="336" t="e">
        <f t="shared" si="44"/>
        <v>#DIV/0!</v>
      </c>
      <c r="CK22" s="334" t="e">
        <f t="shared" si="45"/>
        <v>#DIV/0!</v>
      </c>
      <c r="CL22" s="336" t="e">
        <f t="shared" si="46"/>
        <v>#DIV/0!</v>
      </c>
      <c r="CM22" s="337" t="e">
        <f t="shared" si="47"/>
        <v>#DIV/0!</v>
      </c>
      <c r="CN22" s="338" t="e">
        <f t="shared" si="48"/>
        <v>#DIV/0!</v>
      </c>
      <c r="CO22" s="339" t="e">
        <f t="shared" si="49"/>
        <v>#DIV/0!</v>
      </c>
      <c r="CP22" s="334" t="e">
        <f t="shared" si="50"/>
        <v>#DIV/0!</v>
      </c>
      <c r="CQ22" s="332" t="e">
        <f t="shared" si="51"/>
        <v>#DIV/0!</v>
      </c>
      <c r="CR22" s="332" t="e">
        <f t="shared" si="52"/>
        <v>#DIV/0!</v>
      </c>
      <c r="CS22" s="336" t="e">
        <f t="shared" si="70"/>
        <v>#DIV/0!</v>
      </c>
      <c r="CT22" s="333" t="e">
        <f t="shared" si="71"/>
        <v>#DIV/0!</v>
      </c>
      <c r="CU22" s="340" t="e">
        <f t="shared" si="53"/>
        <v>#DIV/0!</v>
      </c>
      <c r="CV22" s="341" t="e">
        <f t="shared" si="54"/>
        <v>#DIV/0!</v>
      </c>
      <c r="CW22" s="342">
        <f t="shared" si="55"/>
        <v>0</v>
      </c>
      <c r="CX22" s="331">
        <f t="shared" si="56"/>
        <v>0</v>
      </c>
      <c r="CY22" s="331">
        <f t="shared" si="57"/>
        <v>0</v>
      </c>
      <c r="CZ22" s="331">
        <f t="shared" si="58"/>
        <v>0</v>
      </c>
      <c r="DA22" s="331">
        <f t="shared" si="58"/>
        <v>0</v>
      </c>
      <c r="DB22" s="331">
        <f t="shared" si="59"/>
        <v>0</v>
      </c>
      <c r="DC22" s="331">
        <f t="shared" si="60"/>
        <v>0</v>
      </c>
      <c r="DD22" s="331">
        <f t="shared" si="60"/>
        <v>0</v>
      </c>
      <c r="DE22" s="331">
        <f t="shared" si="61"/>
        <v>0</v>
      </c>
      <c r="DF22" s="331">
        <f t="shared" si="62"/>
        <v>0</v>
      </c>
      <c r="DG22" s="331">
        <f t="shared" si="62"/>
        <v>0</v>
      </c>
      <c r="DH22" s="331">
        <f t="shared" si="62"/>
        <v>0</v>
      </c>
      <c r="DI22" s="331">
        <f t="shared" si="62"/>
        <v>0</v>
      </c>
      <c r="DJ22" s="331">
        <f t="shared" si="63"/>
        <v>0</v>
      </c>
      <c r="DK22" s="343">
        <f t="shared" si="63"/>
        <v>0</v>
      </c>
      <c r="DL22" s="344">
        <f t="shared" si="5"/>
        <v>0</v>
      </c>
      <c r="DM22" s="343">
        <f t="shared" si="64"/>
        <v>0</v>
      </c>
      <c r="DN22" s="345">
        <f t="shared" si="65"/>
        <v>0</v>
      </c>
      <c r="DO22" s="496" t="e">
        <f t="shared" si="72"/>
        <v>#DIV/0!</v>
      </c>
      <c r="DP22" s="497" t="e">
        <f t="shared" si="73"/>
        <v>#DIV/0!</v>
      </c>
      <c r="DQ22" s="497" t="e">
        <f t="shared" si="74"/>
        <v>#DIV/0!</v>
      </c>
      <c r="DR22" s="497" t="e">
        <f t="shared" si="75"/>
        <v>#DIV/0!</v>
      </c>
      <c r="DS22" s="497" t="e">
        <f t="shared" si="76"/>
        <v>#DIV/0!</v>
      </c>
      <c r="DT22" s="498" t="e">
        <f t="shared" si="77"/>
        <v>#DIV/0!</v>
      </c>
      <c r="DU22" s="499" t="e">
        <f t="shared" si="78"/>
        <v>#DIV/0!</v>
      </c>
      <c r="DV22" s="497" t="e">
        <f t="shared" si="79"/>
        <v>#DIV/0!</v>
      </c>
      <c r="DW22" s="497" t="e">
        <f t="shared" si="80"/>
        <v>#DIV/0!</v>
      </c>
      <c r="DX22" s="500" t="e">
        <f t="shared" si="81"/>
        <v>#DIV/0!</v>
      </c>
      <c r="DY22" s="499" t="e">
        <f t="shared" si="82"/>
        <v>#DIV/0!</v>
      </c>
      <c r="DZ22" s="497" t="e">
        <f t="shared" si="83"/>
        <v>#DIV/0!</v>
      </c>
      <c r="EA22" s="500" t="e">
        <f t="shared" si="84"/>
        <v>#DIV/0!</v>
      </c>
      <c r="EB22" s="446" t="e">
        <f t="shared" si="66"/>
        <v>#DIV/0!</v>
      </c>
      <c r="EC22" s="418" t="e">
        <f t="shared" si="67"/>
        <v>#DIV/0!</v>
      </c>
      <c r="ED22" s="418" t="e">
        <f t="shared" si="68"/>
        <v>#DIV/0!</v>
      </c>
      <c r="EE22" s="419"/>
      <c r="EF22" s="419"/>
      <c r="EG22" s="420">
        <f t="shared" si="18"/>
        <v>0</v>
      </c>
      <c r="EH22" s="638" t="str">
        <f t="shared" si="69"/>
        <v/>
      </c>
      <c r="EI22" s="631"/>
      <c r="EJ22" s="632"/>
      <c r="EK22" s="633"/>
      <c r="EL22" s="632"/>
      <c r="EM22" s="633"/>
      <c r="EN22" s="632"/>
    </row>
    <row r="23" spans="1:144" ht="12.75" thickTop="1" thickBot="1" x14ac:dyDescent="0.2">
      <c r="A23" s="346" t="s">
        <v>224</v>
      </c>
      <c r="B23" s="347">
        <f>MAX(B3:B18)</f>
        <v>0</v>
      </c>
      <c r="C23" s="347">
        <f t="shared" ref="C23:V23" si="86">SUM(C3:C18)</f>
        <v>0</v>
      </c>
      <c r="D23" s="347">
        <f t="shared" si="86"/>
        <v>0</v>
      </c>
      <c r="E23" s="347">
        <f t="shared" si="86"/>
        <v>0</v>
      </c>
      <c r="F23" s="347">
        <f t="shared" si="86"/>
        <v>0</v>
      </c>
      <c r="G23" s="347">
        <f t="shared" si="86"/>
        <v>0</v>
      </c>
      <c r="H23" s="347">
        <f t="shared" si="86"/>
        <v>0</v>
      </c>
      <c r="I23" s="347">
        <f t="shared" si="86"/>
        <v>0</v>
      </c>
      <c r="J23" s="347">
        <f t="shared" si="86"/>
        <v>0</v>
      </c>
      <c r="K23" s="347">
        <f t="shared" si="86"/>
        <v>0</v>
      </c>
      <c r="L23" s="347">
        <f t="shared" si="86"/>
        <v>0</v>
      </c>
      <c r="M23" s="347">
        <f t="shared" si="86"/>
        <v>0</v>
      </c>
      <c r="N23" s="347">
        <f t="shared" si="86"/>
        <v>0</v>
      </c>
      <c r="O23" s="347">
        <f t="shared" si="86"/>
        <v>0</v>
      </c>
      <c r="P23" s="347">
        <f t="shared" si="86"/>
        <v>0</v>
      </c>
      <c r="Q23" s="347">
        <f t="shared" si="86"/>
        <v>0</v>
      </c>
      <c r="R23" s="347">
        <f t="shared" si="86"/>
        <v>0</v>
      </c>
      <c r="S23" s="347">
        <f t="shared" si="86"/>
        <v>0</v>
      </c>
      <c r="T23" s="347">
        <f t="shared" si="86"/>
        <v>0</v>
      </c>
      <c r="U23" s="347">
        <f t="shared" si="86"/>
        <v>0</v>
      </c>
      <c r="V23" s="347">
        <f t="shared" si="86"/>
        <v>0</v>
      </c>
      <c r="W23" s="346"/>
      <c r="X23" s="347">
        <f>SUM(X3:X18)</f>
        <v>0</v>
      </c>
      <c r="Y23" s="347">
        <f>SUM(Y3:Y18)</f>
        <v>0</v>
      </c>
      <c r="Z23" s="346"/>
      <c r="AA23" s="347">
        <f t="shared" ref="AA23:AO23" si="87">SUM(AA3:AA18)</f>
        <v>0</v>
      </c>
      <c r="AB23" s="347">
        <f t="shared" si="87"/>
        <v>0</v>
      </c>
      <c r="AC23" s="347">
        <f t="shared" si="87"/>
        <v>0</v>
      </c>
      <c r="AD23" s="347">
        <f t="shared" si="87"/>
        <v>0</v>
      </c>
      <c r="AE23" s="347">
        <f t="shared" si="87"/>
        <v>0</v>
      </c>
      <c r="AF23" s="347">
        <f t="shared" si="87"/>
        <v>0</v>
      </c>
      <c r="AG23" s="347">
        <f t="shared" si="87"/>
        <v>0</v>
      </c>
      <c r="AH23" s="347">
        <f t="shared" si="87"/>
        <v>0</v>
      </c>
      <c r="AI23" s="347">
        <f t="shared" si="87"/>
        <v>0</v>
      </c>
      <c r="AJ23" s="347">
        <f t="shared" si="87"/>
        <v>0</v>
      </c>
      <c r="AK23" s="347">
        <f t="shared" si="87"/>
        <v>0</v>
      </c>
      <c r="AL23" s="347">
        <f t="shared" si="87"/>
        <v>0</v>
      </c>
      <c r="AM23" s="347">
        <f t="shared" si="87"/>
        <v>0</v>
      </c>
      <c r="AN23" s="347">
        <f t="shared" si="87"/>
        <v>0</v>
      </c>
      <c r="AO23" s="347">
        <f t="shared" si="87"/>
        <v>0</v>
      </c>
      <c r="AP23" s="346"/>
      <c r="AQ23" s="347">
        <f t="shared" ref="AQ23:AZ23" si="88">SUM(AQ3:AQ18)</f>
        <v>0</v>
      </c>
      <c r="AR23" s="347">
        <f t="shared" si="88"/>
        <v>0</v>
      </c>
      <c r="AS23" s="347">
        <f t="shared" si="88"/>
        <v>0</v>
      </c>
      <c r="AT23" s="347">
        <f t="shared" si="88"/>
        <v>0</v>
      </c>
      <c r="AU23" s="347">
        <f t="shared" si="88"/>
        <v>0</v>
      </c>
      <c r="AV23" s="347">
        <f t="shared" si="88"/>
        <v>0</v>
      </c>
      <c r="AW23" s="347">
        <f t="shared" si="88"/>
        <v>0</v>
      </c>
      <c r="AX23" s="347">
        <f t="shared" si="88"/>
        <v>0</v>
      </c>
      <c r="AY23" s="347">
        <f t="shared" si="88"/>
        <v>0</v>
      </c>
      <c r="AZ23" s="347">
        <f t="shared" si="88"/>
        <v>0</v>
      </c>
      <c r="BA23" s="346"/>
      <c r="BB23" s="347">
        <f>SUM(BB3:BB18)</f>
        <v>0</v>
      </c>
      <c r="BC23" s="347">
        <f>SUM(BC3:BC18)</f>
        <v>0</v>
      </c>
      <c r="BD23" s="347">
        <f>SUM(BD3:BD18)</f>
        <v>0</v>
      </c>
      <c r="BE23" s="347">
        <f>SUM(BE3:BE18)</f>
        <v>0</v>
      </c>
      <c r="BH23" s="349"/>
      <c r="BI23" s="349"/>
      <c r="BJ23" s="349"/>
      <c r="BK23" s="349"/>
      <c r="BL23" s="349"/>
      <c r="BM23" s="349"/>
      <c r="BN23" s="350" t="e">
        <f t="shared" si="25"/>
        <v>#DIV/0!</v>
      </c>
      <c r="BO23" s="351" t="e">
        <f>BN23/(14.784*1000*16)</f>
        <v>#DIV/0!</v>
      </c>
      <c r="BP23" s="352" t="e">
        <f t="shared" si="27"/>
        <v>#DIV/0!</v>
      </c>
      <c r="BQ23" s="351" t="e">
        <f>BP23/(8*1000*16)</f>
        <v>#DIV/0!</v>
      </c>
      <c r="BR23" s="353" t="e">
        <f t="shared" si="29"/>
        <v>#DIV/0!</v>
      </c>
      <c r="BS23" s="354" t="e">
        <f t="shared" si="1"/>
        <v>#DIV/0!</v>
      </c>
      <c r="BT23" s="355" t="e">
        <f t="shared" si="2"/>
        <v>#DIV/0!</v>
      </c>
      <c r="BU23" s="356">
        <f>AE23</f>
        <v>0</v>
      </c>
      <c r="BV23" s="357" t="e">
        <f t="shared" si="3"/>
        <v>#DIV/0!</v>
      </c>
      <c r="BW23" s="356">
        <f>BB23</f>
        <v>0</v>
      </c>
      <c r="BX23" s="358" t="e">
        <f t="shared" si="32"/>
        <v>#DIV/0!</v>
      </c>
      <c r="BY23" s="351" t="e">
        <f t="shared" si="33"/>
        <v>#DIV/0!</v>
      </c>
      <c r="BZ23" s="359" t="e">
        <f t="shared" si="34"/>
        <v>#DIV/0!</v>
      </c>
      <c r="CA23" s="360" t="e">
        <f t="shared" si="35"/>
        <v>#DIV/0!</v>
      </c>
      <c r="CB23" s="361">
        <f>(AB23+AC23)</f>
        <v>0</v>
      </c>
      <c r="CC23" s="477" t="e">
        <f t="shared" si="37"/>
        <v>#DIV/0!</v>
      </c>
      <c r="CD23" s="478" t="e">
        <f t="shared" si="38"/>
        <v>#DIV/0!</v>
      </c>
      <c r="CE23" s="364" t="e">
        <f t="shared" si="39"/>
        <v>#DIV/0!</v>
      </c>
      <c r="CF23" s="362" t="e">
        <f t="shared" si="40"/>
        <v>#DIV/0!</v>
      </c>
      <c r="CG23" s="362" t="e">
        <f t="shared" si="41"/>
        <v>#DIV/0!</v>
      </c>
      <c r="CH23" s="362" t="e">
        <f t="shared" si="42"/>
        <v>#DIV/0!</v>
      </c>
      <c r="CI23" s="362" t="e">
        <f t="shared" si="43"/>
        <v>#DIV/0!</v>
      </c>
      <c r="CJ23" s="365" t="e">
        <f t="shared" si="44"/>
        <v>#DIV/0!</v>
      </c>
      <c r="CK23" s="364" t="e">
        <f t="shared" si="45"/>
        <v>#DIV/0!</v>
      </c>
      <c r="CL23" s="365" t="e">
        <f t="shared" si="46"/>
        <v>#DIV/0!</v>
      </c>
      <c r="CM23" s="366" t="e">
        <f t="shared" si="47"/>
        <v>#DIV/0!</v>
      </c>
      <c r="CN23" s="367" t="e">
        <f t="shared" si="48"/>
        <v>#DIV/0!</v>
      </c>
      <c r="CO23" s="368" t="e">
        <f t="shared" si="49"/>
        <v>#DIV/0!</v>
      </c>
      <c r="CP23" s="364" t="e">
        <f t="shared" si="50"/>
        <v>#DIV/0!</v>
      </c>
      <c r="CQ23" s="362" t="e">
        <f t="shared" si="51"/>
        <v>#DIV/0!</v>
      </c>
      <c r="CR23" s="362" t="e">
        <f t="shared" si="52"/>
        <v>#DIV/0!</v>
      </c>
      <c r="CS23" s="365" t="e">
        <f t="shared" si="70"/>
        <v>#DIV/0!</v>
      </c>
      <c r="CT23" s="363" t="e">
        <f t="shared" si="71"/>
        <v>#DIV/0!</v>
      </c>
      <c r="CU23" s="369" t="e">
        <f t="shared" si="53"/>
        <v>#DIV/0!</v>
      </c>
      <c r="CV23" s="370" t="e">
        <f t="shared" si="54"/>
        <v>#DIV/0!</v>
      </c>
      <c r="CW23" s="371">
        <f t="shared" si="55"/>
        <v>0</v>
      </c>
      <c r="CX23" s="372">
        <f t="shared" si="56"/>
        <v>0</v>
      </c>
      <c r="CY23" s="372">
        <f t="shared" si="57"/>
        <v>0</v>
      </c>
      <c r="CZ23" s="372">
        <f t="shared" si="58"/>
        <v>0</v>
      </c>
      <c r="DA23" s="372">
        <f t="shared" si="58"/>
        <v>0</v>
      </c>
      <c r="DB23" s="372">
        <f t="shared" si="59"/>
        <v>0</v>
      </c>
      <c r="DC23" s="372">
        <f t="shared" si="60"/>
        <v>0</v>
      </c>
      <c r="DD23" s="372">
        <f t="shared" si="60"/>
        <v>0</v>
      </c>
      <c r="DE23" s="372">
        <f t="shared" si="61"/>
        <v>0</v>
      </c>
      <c r="DF23" s="372">
        <f t="shared" si="62"/>
        <v>0</v>
      </c>
      <c r="DG23" s="372">
        <f t="shared" si="62"/>
        <v>0</v>
      </c>
      <c r="DH23" s="372">
        <f t="shared" si="62"/>
        <v>0</v>
      </c>
      <c r="DI23" s="372">
        <f t="shared" si="62"/>
        <v>0</v>
      </c>
      <c r="DJ23" s="372">
        <f t="shared" si="63"/>
        <v>0</v>
      </c>
      <c r="DK23" s="373">
        <f>AN23</f>
        <v>0</v>
      </c>
      <c r="DL23" s="372">
        <f t="shared" si="5"/>
        <v>0</v>
      </c>
      <c r="DM23" s="373">
        <f t="shared" si="64"/>
        <v>0</v>
      </c>
      <c r="DN23" s="374">
        <f>(M23+AH23*2)</f>
        <v>0</v>
      </c>
      <c r="DO23" s="501" t="e">
        <f>DJ23/$CW23</f>
        <v>#DIV/0!</v>
      </c>
      <c r="DP23" s="502" t="e">
        <f>DH23/$CW23</f>
        <v>#DIV/0!</v>
      </c>
      <c r="DQ23" s="502" t="e">
        <f>DK23/$CW23</f>
        <v>#DIV/0!</v>
      </c>
      <c r="DR23" s="502" t="e">
        <f>DI23/$CW23</f>
        <v>#DIV/0!</v>
      </c>
      <c r="DS23" s="502" t="e">
        <f>DF23/$CW23</f>
        <v>#DIV/0!</v>
      </c>
      <c r="DT23" s="503" t="e">
        <f>DG23/$CW23</f>
        <v>#DIV/0!</v>
      </c>
      <c r="DU23" s="501" t="e">
        <f>DC23/$CW23</f>
        <v>#DIV/0!</v>
      </c>
      <c r="DV23" s="502" t="e">
        <f>CZ23/$CW23</f>
        <v>#DIV/0!</v>
      </c>
      <c r="DW23" s="502" t="e">
        <f>DD23/$CW23</f>
        <v>#DIV/0!</v>
      </c>
      <c r="DX23" s="504" t="e">
        <f>DA23/$CW23</f>
        <v>#DIV/0!</v>
      </c>
      <c r="DY23" s="501" t="e">
        <f>CY23/$CW23</f>
        <v>#DIV/0!</v>
      </c>
      <c r="DZ23" s="502" t="e">
        <f>CX23/$CW23</f>
        <v>#DIV/0!</v>
      </c>
      <c r="EA23" s="504" t="e">
        <f>DL23/$CW23</f>
        <v>#DIV/0!</v>
      </c>
      <c r="EB23" s="447" t="e">
        <f t="shared" si="66"/>
        <v>#DIV/0!</v>
      </c>
      <c r="EC23" s="415" t="e">
        <f t="shared" si="67"/>
        <v>#DIV/0!</v>
      </c>
      <c r="ED23" s="415" t="e">
        <f t="shared" si="68"/>
        <v>#DIV/0!</v>
      </c>
      <c r="EE23" s="416" t="e">
        <f>EC23/(473*0.6)</f>
        <v>#DIV/0!</v>
      </c>
      <c r="EF23" s="416" t="e">
        <f>ED23/(473*0.6)</f>
        <v>#DIV/0!</v>
      </c>
      <c r="EG23" s="417">
        <f>MAX(EG3:EG18)</f>
        <v>0</v>
      </c>
      <c r="EH23" s="634">
        <f>MAX(EH3:EH18)</f>
        <v>0</v>
      </c>
      <c r="EI23" s="635">
        <f>IF(EH23&gt;0.5,
    MEM_throughput!$C$6,
    MEM_throughput!$C$7 + EH23 *
      (MEM_throughput!$C$6-MEM_throughput!$C$7)/
      (MEM_throughput!$B$6-MEM_throughput!$B$7))</f>
        <v>82</v>
      </c>
      <c r="EJ23" s="636">
        <f t="shared" ref="EJ23" si="89">EI23*$EJ$1</f>
        <v>73.8</v>
      </c>
      <c r="EK23" s="637">
        <f>IF(EH23&gt;0.5,
    MEM_throughput!$H$5 + (1-EH23) *
      (MEM_throughput!$H$6-MEM_throughput!$H$5)/
      (MEM_throughput!$G$5-MEM_throughput!$G$6),
    MEM_throughput!$H$7 + EH23 *
      (MEM_throughput!$H$6-MEM_throughput!$H$7)/
      (MEM_throughput!$G$6-MEM_throughput!$G$7))</f>
        <v>82</v>
      </c>
      <c r="EL23" s="636">
        <f t="shared" ref="EL23" si="90">EK23*$EL$1</f>
        <v>73.8</v>
      </c>
      <c r="EM23" s="637">
        <f>IF(TOP!$Y$4&gt;0, EK23, EI23)</f>
        <v>82</v>
      </c>
      <c r="EN23" s="636">
        <f>IF(TOP!$Y$4&gt;0, EL23, EJ23)</f>
        <v>73.8</v>
      </c>
    </row>
    <row r="24" spans="1:144" ht="12" thickBot="1" x14ac:dyDescent="0.2">
      <c r="A24" s="375" t="s">
        <v>54</v>
      </c>
      <c r="B24" s="376"/>
      <c r="J24" s="348"/>
      <c r="P24" s="348">
        <v>0</v>
      </c>
      <c r="CW24" s="376"/>
      <c r="CX24" s="377"/>
      <c r="CY24" s="377"/>
      <c r="CZ24" s="377"/>
      <c r="DA24" s="377"/>
      <c r="DB24" s="378"/>
      <c r="DC24" s="377"/>
      <c r="DD24" s="377"/>
      <c r="DE24" s="378"/>
      <c r="DF24" s="377"/>
      <c r="DG24" s="377"/>
      <c r="DH24" s="377"/>
      <c r="DI24" s="377"/>
      <c r="DK24" s="377"/>
      <c r="DL24" s="377"/>
    </row>
    <row r="25" spans="1:144" x14ac:dyDescent="0.15">
      <c r="A25" s="169"/>
      <c r="B25" s="168" t="s">
        <v>22</v>
      </c>
      <c r="C25" s="168" t="s">
        <v>34</v>
      </c>
      <c r="D25" s="168" t="s">
        <v>23</v>
      </c>
      <c r="E25" s="169" t="s">
        <v>24</v>
      </c>
      <c r="F25" s="170" t="s">
        <v>25</v>
      </c>
      <c r="G25" s="170" t="s">
        <v>35</v>
      </c>
      <c r="H25" s="171" t="s">
        <v>36</v>
      </c>
      <c r="I25" s="171" t="s">
        <v>37</v>
      </c>
      <c r="J25" s="169" t="s">
        <v>26</v>
      </c>
      <c r="K25" s="169" t="s">
        <v>27</v>
      </c>
      <c r="L25" s="169" t="s">
        <v>148</v>
      </c>
      <c r="M25" s="169" t="s">
        <v>21</v>
      </c>
      <c r="N25" s="169" t="s">
        <v>28</v>
      </c>
      <c r="O25" s="169" t="s">
        <v>29</v>
      </c>
      <c r="P25" s="169" t="s">
        <v>30</v>
      </c>
      <c r="Q25" s="169" t="s">
        <v>38</v>
      </c>
      <c r="R25" s="169" t="s">
        <v>31</v>
      </c>
      <c r="S25" s="169" t="s">
        <v>32</v>
      </c>
      <c r="T25" s="169" t="s">
        <v>33</v>
      </c>
      <c r="U25" s="169" t="s">
        <v>39</v>
      </c>
      <c r="V25" s="169" t="s">
        <v>40</v>
      </c>
      <c r="X25" s="376"/>
      <c r="Y25" s="379"/>
      <c r="AI25" s="380"/>
      <c r="CW25" s="376"/>
      <c r="DB25" s="381"/>
      <c r="DE25" s="381"/>
    </row>
    <row r="26" spans="1:144" x14ac:dyDescent="0.15">
      <c r="A26" s="382" t="str">
        <f>A3</f>
        <v>Thread 0</v>
      </c>
      <c r="B26" s="383">
        <f>D3</f>
        <v>0</v>
      </c>
      <c r="C26" s="383">
        <f>C3-D3</f>
        <v>0</v>
      </c>
      <c r="D26" s="383">
        <f>N3</f>
        <v>0</v>
      </c>
      <c r="E26" s="383">
        <f>E3</f>
        <v>0</v>
      </c>
      <c r="F26" s="383">
        <f t="shared" ref="F26:F35" si="91">F3-B26-E26</f>
        <v>0</v>
      </c>
      <c r="G26" s="383">
        <f t="shared" ref="G26:G35" si="92">G3-SUM(B26:F26)+D26</f>
        <v>0</v>
      </c>
      <c r="H26" s="383">
        <f>K3-O3</f>
        <v>0</v>
      </c>
      <c r="I26" s="383">
        <f>O3</f>
        <v>0</v>
      </c>
      <c r="J26" s="383">
        <f>L3</f>
        <v>0</v>
      </c>
      <c r="K26" s="383">
        <f>J3-N3-P3</f>
        <v>0</v>
      </c>
      <c r="L26" s="383">
        <f>P3</f>
        <v>0</v>
      </c>
      <c r="M26" s="383">
        <f t="shared" ref="M26:M45" si="93">AD3-I3-BC3-BD3</f>
        <v>0</v>
      </c>
      <c r="N26" s="383">
        <f t="shared" ref="N26:N45" si="94">U3-SUM(B26:M26)</f>
        <v>0</v>
      </c>
      <c r="O26" s="383">
        <f>X3</f>
        <v>0</v>
      </c>
      <c r="P26" s="383">
        <f>R3</f>
        <v>0</v>
      </c>
      <c r="Q26" s="383">
        <f>$P$24</f>
        <v>0</v>
      </c>
      <c r="R26" s="383">
        <f t="shared" ref="R26:R45" si="95">SUM(V3,Y3)-SUM(P26:Q26)</f>
        <v>0</v>
      </c>
      <c r="S26" s="383">
        <f t="shared" ref="S26:S45" si="96">B3-SUM(U3:V3,X3:Y3)</f>
        <v>0</v>
      </c>
      <c r="T26" s="383">
        <f t="shared" ref="T26:T45" si="97">SUM(B26:S26)</f>
        <v>0</v>
      </c>
      <c r="U26" s="384" t="e">
        <f t="shared" ref="U26:U35" si="98">(S3+T3*2+AI3*2+AJ3*4)/1000000/(B3/$B$1/1000000000)</f>
        <v>#DIV/0!</v>
      </c>
      <c r="V26" s="384" t="e">
        <f t="shared" ref="V26:V35" si="99">I3/1000000/(B3/$B$1/1000000000)</f>
        <v>#DIV/0!</v>
      </c>
      <c r="X26" s="379"/>
      <c r="Y26" s="379"/>
      <c r="Z26" s="385"/>
      <c r="AC26" s="376"/>
      <c r="AI26" s="386"/>
      <c r="DB26" s="381"/>
      <c r="DE26" s="381"/>
    </row>
    <row r="27" spans="1:144" x14ac:dyDescent="0.15">
      <c r="A27" s="382" t="str">
        <f t="shared" ref="A27:A45" si="100">A4</f>
        <v>Thread 1</v>
      </c>
      <c r="B27" s="383">
        <f t="shared" ref="B27:B35" si="101">D4</f>
        <v>0</v>
      </c>
      <c r="C27" s="383">
        <f t="shared" ref="C27:C35" si="102">C4-D4</f>
        <v>0</v>
      </c>
      <c r="D27" s="383">
        <f t="shared" ref="D27:D35" si="103">N4</f>
        <v>0</v>
      </c>
      <c r="E27" s="383">
        <f t="shared" ref="E27:E45" si="104">E4</f>
        <v>0</v>
      </c>
      <c r="F27" s="383">
        <f t="shared" si="91"/>
        <v>0</v>
      </c>
      <c r="G27" s="383">
        <f t="shared" si="92"/>
        <v>0</v>
      </c>
      <c r="H27" s="383">
        <f t="shared" ref="H27:H35" si="105">K4-O4</f>
        <v>0</v>
      </c>
      <c r="I27" s="383">
        <f t="shared" ref="I27:I35" si="106">O4</f>
        <v>0</v>
      </c>
      <c r="J27" s="383">
        <f t="shared" ref="J27:J35" si="107">L4</f>
        <v>0</v>
      </c>
      <c r="K27" s="383">
        <f t="shared" ref="K27:K45" si="108">J4-N4-P4</f>
        <v>0</v>
      </c>
      <c r="L27" s="383">
        <f t="shared" ref="L27:L45" si="109">P4</f>
        <v>0</v>
      </c>
      <c r="M27" s="383">
        <f t="shared" si="93"/>
        <v>0</v>
      </c>
      <c r="N27" s="383">
        <f t="shared" si="94"/>
        <v>0</v>
      </c>
      <c r="O27" s="383">
        <f t="shared" ref="O27:O35" si="110">X4</f>
        <v>0</v>
      </c>
      <c r="P27" s="383">
        <f t="shared" ref="P27:P35" si="111">R4</f>
        <v>0</v>
      </c>
      <c r="Q27" s="383">
        <f t="shared" ref="Q27:Q45" si="112">$P$24</f>
        <v>0</v>
      </c>
      <c r="R27" s="383">
        <f t="shared" si="95"/>
        <v>0</v>
      </c>
      <c r="S27" s="383">
        <f t="shared" si="96"/>
        <v>0</v>
      </c>
      <c r="T27" s="383">
        <f t="shared" si="97"/>
        <v>0</v>
      </c>
      <c r="U27" s="384" t="e">
        <f t="shared" si="98"/>
        <v>#DIV/0!</v>
      </c>
      <c r="V27" s="384" t="e">
        <f t="shared" si="99"/>
        <v>#DIV/0!</v>
      </c>
      <c r="AC27" s="376"/>
      <c r="DB27" s="381"/>
      <c r="DE27" s="381"/>
    </row>
    <row r="28" spans="1:144" x14ac:dyDescent="0.15">
      <c r="A28" s="382" t="str">
        <f t="shared" si="100"/>
        <v>Thread 2</v>
      </c>
      <c r="B28" s="383">
        <f t="shared" si="101"/>
        <v>0</v>
      </c>
      <c r="C28" s="383">
        <f t="shared" si="102"/>
        <v>0</v>
      </c>
      <c r="D28" s="383">
        <f t="shared" si="103"/>
        <v>0</v>
      </c>
      <c r="E28" s="383">
        <f t="shared" si="104"/>
        <v>0</v>
      </c>
      <c r="F28" s="383">
        <f t="shared" si="91"/>
        <v>0</v>
      </c>
      <c r="G28" s="383">
        <f t="shared" si="92"/>
        <v>0</v>
      </c>
      <c r="H28" s="383">
        <f t="shared" si="105"/>
        <v>0</v>
      </c>
      <c r="I28" s="383">
        <f t="shared" si="106"/>
        <v>0</v>
      </c>
      <c r="J28" s="383">
        <f t="shared" si="107"/>
        <v>0</v>
      </c>
      <c r="K28" s="383">
        <f t="shared" si="108"/>
        <v>0</v>
      </c>
      <c r="L28" s="383">
        <f t="shared" si="109"/>
        <v>0</v>
      </c>
      <c r="M28" s="383">
        <f t="shared" si="93"/>
        <v>0</v>
      </c>
      <c r="N28" s="383">
        <f t="shared" si="94"/>
        <v>0</v>
      </c>
      <c r="O28" s="383">
        <f t="shared" si="110"/>
        <v>0</v>
      </c>
      <c r="P28" s="383">
        <f t="shared" si="111"/>
        <v>0</v>
      </c>
      <c r="Q28" s="383">
        <f t="shared" si="112"/>
        <v>0</v>
      </c>
      <c r="R28" s="383">
        <f t="shared" si="95"/>
        <v>0</v>
      </c>
      <c r="S28" s="383">
        <f t="shared" si="96"/>
        <v>0</v>
      </c>
      <c r="T28" s="383">
        <f t="shared" si="97"/>
        <v>0</v>
      </c>
      <c r="U28" s="384" t="e">
        <f t="shared" si="98"/>
        <v>#DIV/0!</v>
      </c>
      <c r="V28" s="384" t="e">
        <f t="shared" si="99"/>
        <v>#DIV/0!</v>
      </c>
      <c r="AC28" s="376"/>
      <c r="DB28" s="381"/>
      <c r="DE28" s="381"/>
    </row>
    <row r="29" spans="1:144" x14ac:dyDescent="0.15">
      <c r="A29" s="382" t="str">
        <f t="shared" si="100"/>
        <v>Thread 3</v>
      </c>
      <c r="B29" s="383">
        <f t="shared" si="101"/>
        <v>0</v>
      </c>
      <c r="C29" s="383">
        <f t="shared" si="102"/>
        <v>0</v>
      </c>
      <c r="D29" s="383">
        <f t="shared" si="103"/>
        <v>0</v>
      </c>
      <c r="E29" s="383">
        <f t="shared" si="104"/>
        <v>0</v>
      </c>
      <c r="F29" s="383">
        <f t="shared" si="91"/>
        <v>0</v>
      </c>
      <c r="G29" s="383">
        <f t="shared" si="92"/>
        <v>0</v>
      </c>
      <c r="H29" s="383">
        <f t="shared" si="105"/>
        <v>0</v>
      </c>
      <c r="I29" s="383">
        <f t="shared" si="106"/>
        <v>0</v>
      </c>
      <c r="J29" s="383">
        <f t="shared" si="107"/>
        <v>0</v>
      </c>
      <c r="K29" s="383">
        <f t="shared" si="108"/>
        <v>0</v>
      </c>
      <c r="L29" s="383">
        <f t="shared" si="109"/>
        <v>0</v>
      </c>
      <c r="M29" s="383">
        <f t="shared" si="93"/>
        <v>0</v>
      </c>
      <c r="N29" s="383">
        <f t="shared" si="94"/>
        <v>0</v>
      </c>
      <c r="O29" s="383">
        <f t="shared" si="110"/>
        <v>0</v>
      </c>
      <c r="P29" s="383">
        <f t="shared" si="111"/>
        <v>0</v>
      </c>
      <c r="Q29" s="383">
        <f t="shared" si="112"/>
        <v>0</v>
      </c>
      <c r="R29" s="383">
        <f t="shared" si="95"/>
        <v>0</v>
      </c>
      <c r="S29" s="383">
        <f t="shared" si="96"/>
        <v>0</v>
      </c>
      <c r="T29" s="383">
        <f t="shared" si="97"/>
        <v>0</v>
      </c>
      <c r="U29" s="384" t="e">
        <f t="shared" si="98"/>
        <v>#DIV/0!</v>
      </c>
      <c r="V29" s="384" t="e">
        <f t="shared" si="99"/>
        <v>#DIV/0!</v>
      </c>
      <c r="AC29" s="376"/>
      <c r="DB29" s="381"/>
      <c r="DE29" s="381"/>
    </row>
    <row r="30" spans="1:144" x14ac:dyDescent="0.15">
      <c r="A30" s="382" t="str">
        <f t="shared" si="100"/>
        <v>Thread 4</v>
      </c>
      <c r="B30" s="383">
        <f t="shared" si="101"/>
        <v>0</v>
      </c>
      <c r="C30" s="383">
        <f t="shared" si="102"/>
        <v>0</v>
      </c>
      <c r="D30" s="383">
        <f t="shared" si="103"/>
        <v>0</v>
      </c>
      <c r="E30" s="383">
        <f t="shared" si="104"/>
        <v>0</v>
      </c>
      <c r="F30" s="383">
        <f t="shared" si="91"/>
        <v>0</v>
      </c>
      <c r="G30" s="383">
        <f t="shared" si="92"/>
        <v>0</v>
      </c>
      <c r="H30" s="383">
        <f t="shared" si="105"/>
        <v>0</v>
      </c>
      <c r="I30" s="383">
        <f t="shared" si="106"/>
        <v>0</v>
      </c>
      <c r="J30" s="383">
        <f t="shared" si="107"/>
        <v>0</v>
      </c>
      <c r="K30" s="383">
        <f t="shared" si="108"/>
        <v>0</v>
      </c>
      <c r="L30" s="383">
        <f t="shared" si="109"/>
        <v>0</v>
      </c>
      <c r="M30" s="383">
        <f t="shared" si="93"/>
        <v>0</v>
      </c>
      <c r="N30" s="383">
        <f t="shared" si="94"/>
        <v>0</v>
      </c>
      <c r="O30" s="383">
        <f t="shared" si="110"/>
        <v>0</v>
      </c>
      <c r="P30" s="383">
        <f t="shared" si="111"/>
        <v>0</v>
      </c>
      <c r="Q30" s="383">
        <f t="shared" si="112"/>
        <v>0</v>
      </c>
      <c r="R30" s="383">
        <f t="shared" si="95"/>
        <v>0</v>
      </c>
      <c r="S30" s="383">
        <f t="shared" si="96"/>
        <v>0</v>
      </c>
      <c r="T30" s="383">
        <f t="shared" si="97"/>
        <v>0</v>
      </c>
      <c r="U30" s="384" t="e">
        <f t="shared" si="98"/>
        <v>#DIV/0!</v>
      </c>
      <c r="V30" s="384" t="e">
        <f t="shared" si="99"/>
        <v>#DIV/0!</v>
      </c>
      <c r="AC30" s="376"/>
      <c r="DB30" s="381"/>
      <c r="DE30" s="381"/>
    </row>
    <row r="31" spans="1:144" x14ac:dyDescent="0.15">
      <c r="A31" s="382" t="str">
        <f t="shared" si="100"/>
        <v>Thread 5</v>
      </c>
      <c r="B31" s="383">
        <f t="shared" si="101"/>
        <v>0</v>
      </c>
      <c r="C31" s="383">
        <f t="shared" si="102"/>
        <v>0</v>
      </c>
      <c r="D31" s="383">
        <f t="shared" si="103"/>
        <v>0</v>
      </c>
      <c r="E31" s="383">
        <f t="shared" si="104"/>
        <v>0</v>
      </c>
      <c r="F31" s="383">
        <f t="shared" si="91"/>
        <v>0</v>
      </c>
      <c r="G31" s="383">
        <f t="shared" si="92"/>
        <v>0</v>
      </c>
      <c r="H31" s="383">
        <f t="shared" si="105"/>
        <v>0</v>
      </c>
      <c r="I31" s="383">
        <f t="shared" si="106"/>
        <v>0</v>
      </c>
      <c r="J31" s="383">
        <f t="shared" si="107"/>
        <v>0</v>
      </c>
      <c r="K31" s="383">
        <f t="shared" si="108"/>
        <v>0</v>
      </c>
      <c r="L31" s="383">
        <f t="shared" si="109"/>
        <v>0</v>
      </c>
      <c r="M31" s="383">
        <f t="shared" si="93"/>
        <v>0</v>
      </c>
      <c r="N31" s="383">
        <f t="shared" si="94"/>
        <v>0</v>
      </c>
      <c r="O31" s="383">
        <f t="shared" si="110"/>
        <v>0</v>
      </c>
      <c r="P31" s="383">
        <f t="shared" si="111"/>
        <v>0</v>
      </c>
      <c r="Q31" s="383">
        <f t="shared" si="112"/>
        <v>0</v>
      </c>
      <c r="R31" s="383">
        <f t="shared" si="95"/>
        <v>0</v>
      </c>
      <c r="S31" s="383">
        <f t="shared" si="96"/>
        <v>0</v>
      </c>
      <c r="T31" s="383">
        <f t="shared" si="97"/>
        <v>0</v>
      </c>
      <c r="U31" s="384" t="e">
        <f t="shared" si="98"/>
        <v>#DIV/0!</v>
      </c>
      <c r="V31" s="384" t="e">
        <f t="shared" si="99"/>
        <v>#DIV/0!</v>
      </c>
      <c r="AC31" s="376"/>
      <c r="DB31" s="381"/>
      <c r="DE31" s="381"/>
    </row>
    <row r="32" spans="1:144" x14ac:dyDescent="0.15">
      <c r="A32" s="382" t="str">
        <f t="shared" si="100"/>
        <v>Thread 6</v>
      </c>
      <c r="B32" s="383">
        <f t="shared" si="101"/>
        <v>0</v>
      </c>
      <c r="C32" s="383">
        <f t="shared" si="102"/>
        <v>0</v>
      </c>
      <c r="D32" s="383">
        <f t="shared" si="103"/>
        <v>0</v>
      </c>
      <c r="E32" s="383">
        <f t="shared" si="104"/>
        <v>0</v>
      </c>
      <c r="F32" s="383">
        <f t="shared" si="91"/>
        <v>0</v>
      </c>
      <c r="G32" s="383">
        <f t="shared" si="92"/>
        <v>0</v>
      </c>
      <c r="H32" s="383">
        <f t="shared" si="105"/>
        <v>0</v>
      </c>
      <c r="I32" s="383">
        <f t="shared" si="106"/>
        <v>0</v>
      </c>
      <c r="J32" s="383">
        <f t="shared" si="107"/>
        <v>0</v>
      </c>
      <c r="K32" s="383">
        <f t="shared" si="108"/>
        <v>0</v>
      </c>
      <c r="L32" s="383">
        <f t="shared" si="109"/>
        <v>0</v>
      </c>
      <c r="M32" s="383">
        <f t="shared" si="93"/>
        <v>0</v>
      </c>
      <c r="N32" s="383">
        <f t="shared" si="94"/>
        <v>0</v>
      </c>
      <c r="O32" s="383">
        <f t="shared" si="110"/>
        <v>0</v>
      </c>
      <c r="P32" s="383">
        <f t="shared" si="111"/>
        <v>0</v>
      </c>
      <c r="Q32" s="383">
        <f t="shared" si="112"/>
        <v>0</v>
      </c>
      <c r="R32" s="383">
        <f t="shared" si="95"/>
        <v>0</v>
      </c>
      <c r="S32" s="383">
        <f t="shared" si="96"/>
        <v>0</v>
      </c>
      <c r="T32" s="383">
        <f t="shared" si="97"/>
        <v>0</v>
      </c>
      <c r="U32" s="384" t="e">
        <f t="shared" si="98"/>
        <v>#DIV/0!</v>
      </c>
      <c r="V32" s="384" t="e">
        <f t="shared" si="99"/>
        <v>#DIV/0!</v>
      </c>
      <c r="AC32" s="376"/>
      <c r="DB32" s="381"/>
      <c r="DE32" s="381"/>
    </row>
    <row r="33" spans="1:116" x14ac:dyDescent="0.15">
      <c r="A33" s="382" t="str">
        <f t="shared" si="100"/>
        <v>Thread 7</v>
      </c>
      <c r="B33" s="383">
        <f t="shared" si="101"/>
        <v>0</v>
      </c>
      <c r="C33" s="383">
        <f t="shared" si="102"/>
        <v>0</v>
      </c>
      <c r="D33" s="383">
        <f t="shared" si="103"/>
        <v>0</v>
      </c>
      <c r="E33" s="383">
        <f t="shared" si="104"/>
        <v>0</v>
      </c>
      <c r="F33" s="383">
        <f t="shared" si="91"/>
        <v>0</v>
      </c>
      <c r="G33" s="383">
        <f t="shared" si="92"/>
        <v>0</v>
      </c>
      <c r="H33" s="383">
        <f t="shared" si="105"/>
        <v>0</v>
      </c>
      <c r="I33" s="383">
        <f t="shared" si="106"/>
        <v>0</v>
      </c>
      <c r="J33" s="383">
        <f t="shared" si="107"/>
        <v>0</v>
      </c>
      <c r="K33" s="383">
        <f t="shared" si="108"/>
        <v>0</v>
      </c>
      <c r="L33" s="383">
        <f t="shared" si="109"/>
        <v>0</v>
      </c>
      <c r="M33" s="383">
        <f t="shared" si="93"/>
        <v>0</v>
      </c>
      <c r="N33" s="383">
        <f t="shared" si="94"/>
        <v>0</v>
      </c>
      <c r="O33" s="383">
        <f t="shared" si="110"/>
        <v>0</v>
      </c>
      <c r="P33" s="383">
        <f t="shared" si="111"/>
        <v>0</v>
      </c>
      <c r="Q33" s="383">
        <f t="shared" si="112"/>
        <v>0</v>
      </c>
      <c r="R33" s="383">
        <f t="shared" si="95"/>
        <v>0</v>
      </c>
      <c r="S33" s="383">
        <f t="shared" si="96"/>
        <v>0</v>
      </c>
      <c r="T33" s="383">
        <f t="shared" si="97"/>
        <v>0</v>
      </c>
      <c r="U33" s="384" t="e">
        <f t="shared" si="98"/>
        <v>#DIV/0!</v>
      </c>
      <c r="V33" s="384" t="e">
        <f t="shared" si="99"/>
        <v>#DIV/0!</v>
      </c>
      <c r="AC33" s="376"/>
      <c r="CW33" s="348" t="s">
        <v>224</v>
      </c>
      <c r="DB33" s="381"/>
      <c r="DE33" s="381"/>
    </row>
    <row r="34" spans="1:116" x14ac:dyDescent="0.15">
      <c r="A34" s="382" t="str">
        <f t="shared" si="100"/>
        <v>Thread 8</v>
      </c>
      <c r="B34" s="383">
        <f t="shared" si="101"/>
        <v>0</v>
      </c>
      <c r="C34" s="383">
        <f t="shared" si="102"/>
        <v>0</v>
      </c>
      <c r="D34" s="383">
        <f t="shared" si="103"/>
        <v>0</v>
      </c>
      <c r="E34" s="383">
        <f t="shared" si="104"/>
        <v>0</v>
      </c>
      <c r="F34" s="383">
        <f t="shared" si="91"/>
        <v>0</v>
      </c>
      <c r="G34" s="383">
        <f t="shared" si="92"/>
        <v>0</v>
      </c>
      <c r="H34" s="383">
        <f t="shared" si="105"/>
        <v>0</v>
      </c>
      <c r="I34" s="383">
        <f t="shared" si="106"/>
        <v>0</v>
      </c>
      <c r="J34" s="383">
        <f t="shared" si="107"/>
        <v>0</v>
      </c>
      <c r="K34" s="383">
        <f t="shared" si="108"/>
        <v>0</v>
      </c>
      <c r="L34" s="383">
        <f t="shared" si="109"/>
        <v>0</v>
      </c>
      <c r="M34" s="383">
        <f t="shared" si="93"/>
        <v>0</v>
      </c>
      <c r="N34" s="383">
        <f t="shared" si="94"/>
        <v>0</v>
      </c>
      <c r="O34" s="383">
        <f t="shared" si="110"/>
        <v>0</v>
      </c>
      <c r="P34" s="383">
        <f t="shared" si="111"/>
        <v>0</v>
      </c>
      <c r="Q34" s="383">
        <f t="shared" si="112"/>
        <v>0</v>
      </c>
      <c r="R34" s="383">
        <f t="shared" si="95"/>
        <v>0</v>
      </c>
      <c r="S34" s="383">
        <f t="shared" si="96"/>
        <v>0</v>
      </c>
      <c r="T34" s="383">
        <f t="shared" si="97"/>
        <v>0</v>
      </c>
      <c r="U34" s="384" t="e">
        <f t="shared" si="98"/>
        <v>#DIV/0!</v>
      </c>
      <c r="V34" s="384" t="e">
        <f t="shared" si="99"/>
        <v>#DIV/0!</v>
      </c>
      <c r="AC34" s="376"/>
      <c r="CX34" s="381"/>
      <c r="CY34" s="381"/>
      <c r="CZ34" s="381"/>
      <c r="DA34" s="381"/>
      <c r="DB34" s="381"/>
      <c r="DC34" s="381"/>
      <c r="DD34" s="381"/>
      <c r="DE34" s="381"/>
      <c r="DF34" s="381"/>
      <c r="DG34" s="381"/>
      <c r="DH34" s="381"/>
      <c r="DI34" s="381"/>
      <c r="DJ34" s="381"/>
      <c r="DK34" s="381"/>
      <c r="DL34" s="381"/>
    </row>
    <row r="35" spans="1:116" x14ac:dyDescent="0.15">
      <c r="A35" s="382" t="str">
        <f t="shared" si="100"/>
        <v>Thread 9</v>
      </c>
      <c r="B35" s="383">
        <f t="shared" si="101"/>
        <v>0</v>
      </c>
      <c r="C35" s="383">
        <f t="shared" si="102"/>
        <v>0</v>
      </c>
      <c r="D35" s="383">
        <f t="shared" si="103"/>
        <v>0</v>
      </c>
      <c r="E35" s="383">
        <f t="shared" si="104"/>
        <v>0</v>
      </c>
      <c r="F35" s="383">
        <f t="shared" si="91"/>
        <v>0</v>
      </c>
      <c r="G35" s="383">
        <f t="shared" si="92"/>
        <v>0</v>
      </c>
      <c r="H35" s="383">
        <f t="shared" si="105"/>
        <v>0</v>
      </c>
      <c r="I35" s="383">
        <f t="shared" si="106"/>
        <v>0</v>
      </c>
      <c r="J35" s="383">
        <f t="shared" si="107"/>
        <v>0</v>
      </c>
      <c r="K35" s="383">
        <f t="shared" si="108"/>
        <v>0</v>
      </c>
      <c r="L35" s="383">
        <f t="shared" si="109"/>
        <v>0</v>
      </c>
      <c r="M35" s="383">
        <f t="shared" si="93"/>
        <v>0</v>
      </c>
      <c r="N35" s="383">
        <f t="shared" si="94"/>
        <v>0</v>
      </c>
      <c r="O35" s="383">
        <f t="shared" si="110"/>
        <v>0</v>
      </c>
      <c r="P35" s="383">
        <f t="shared" si="111"/>
        <v>0</v>
      </c>
      <c r="Q35" s="383">
        <f t="shared" si="112"/>
        <v>0</v>
      </c>
      <c r="R35" s="383">
        <f t="shared" si="95"/>
        <v>0</v>
      </c>
      <c r="S35" s="383">
        <f t="shared" si="96"/>
        <v>0</v>
      </c>
      <c r="T35" s="383">
        <f t="shared" si="97"/>
        <v>0</v>
      </c>
      <c r="U35" s="384" t="e">
        <f t="shared" si="98"/>
        <v>#DIV/0!</v>
      </c>
      <c r="V35" s="384" t="e">
        <f t="shared" si="99"/>
        <v>#DIV/0!</v>
      </c>
      <c r="AC35" s="376"/>
      <c r="CX35" s="381"/>
      <c r="CY35" s="381"/>
      <c r="CZ35" s="381"/>
      <c r="DA35" s="381"/>
      <c r="DB35" s="381"/>
      <c r="DC35" s="381"/>
      <c r="DD35" s="381"/>
      <c r="DE35" s="381"/>
      <c r="DF35" s="381"/>
      <c r="DG35" s="381"/>
      <c r="DH35" s="381"/>
      <c r="DI35" s="381"/>
      <c r="DJ35" s="381"/>
      <c r="DK35" s="381"/>
      <c r="DL35" s="381"/>
    </row>
    <row r="36" spans="1:116" x14ac:dyDescent="0.15">
      <c r="A36" s="382" t="str">
        <f t="shared" si="100"/>
        <v>Thread 10</v>
      </c>
      <c r="B36" s="383">
        <f t="shared" ref="B36:B45" si="113">D13</f>
        <v>0</v>
      </c>
      <c r="C36" s="383">
        <f t="shared" ref="C36:C45" si="114">C13-D13</f>
        <v>0</v>
      </c>
      <c r="D36" s="383">
        <f t="shared" ref="D36:D45" si="115">N13</f>
        <v>0</v>
      </c>
      <c r="E36" s="383">
        <f t="shared" si="104"/>
        <v>0</v>
      </c>
      <c r="F36" s="383">
        <f t="shared" ref="F36:F45" si="116">F13-B36-E36</f>
        <v>0</v>
      </c>
      <c r="G36" s="383">
        <f t="shared" ref="G36:G45" si="117">G13-SUM(B36:F36)+D36</f>
        <v>0</v>
      </c>
      <c r="H36" s="383">
        <f t="shared" ref="H36:H45" si="118">K13-O13</f>
        <v>0</v>
      </c>
      <c r="I36" s="383">
        <f t="shared" ref="I36:I45" si="119">O13</f>
        <v>0</v>
      </c>
      <c r="J36" s="383">
        <f t="shared" ref="J36:J45" si="120">L13</f>
        <v>0</v>
      </c>
      <c r="K36" s="383">
        <f t="shared" si="108"/>
        <v>0</v>
      </c>
      <c r="L36" s="383">
        <f t="shared" si="109"/>
        <v>0</v>
      </c>
      <c r="M36" s="383">
        <f t="shared" si="93"/>
        <v>0</v>
      </c>
      <c r="N36" s="383">
        <f t="shared" si="94"/>
        <v>0</v>
      </c>
      <c r="O36" s="383">
        <f t="shared" ref="O36:O45" si="121">X13</f>
        <v>0</v>
      </c>
      <c r="P36" s="383">
        <f t="shared" ref="P36:P45" si="122">R13</f>
        <v>0</v>
      </c>
      <c r="Q36" s="383">
        <f t="shared" si="112"/>
        <v>0</v>
      </c>
      <c r="R36" s="383">
        <f t="shared" si="95"/>
        <v>0</v>
      </c>
      <c r="S36" s="383">
        <f t="shared" si="96"/>
        <v>0</v>
      </c>
      <c r="T36" s="383">
        <f t="shared" si="97"/>
        <v>0</v>
      </c>
      <c r="U36" s="384" t="e">
        <f t="shared" ref="U36:U45" si="123">(S13+T13*2+AI13*2+AJ13*4)/1000000/(B13/$B$1/1000000000)</f>
        <v>#DIV/0!</v>
      </c>
      <c r="V36" s="384" t="e">
        <f t="shared" ref="V36:V45" si="124">I13/1000000/(B13/$B$1/1000000000)</f>
        <v>#DIV/0!</v>
      </c>
      <c r="AC36" s="376"/>
    </row>
    <row r="37" spans="1:116" x14ac:dyDescent="0.15">
      <c r="A37" s="382" t="str">
        <f t="shared" si="100"/>
        <v>Thread 11</v>
      </c>
      <c r="B37" s="383">
        <f t="shared" si="113"/>
        <v>0</v>
      </c>
      <c r="C37" s="383">
        <f t="shared" si="114"/>
        <v>0</v>
      </c>
      <c r="D37" s="383">
        <f t="shared" si="115"/>
        <v>0</v>
      </c>
      <c r="E37" s="383">
        <f t="shared" si="104"/>
        <v>0</v>
      </c>
      <c r="F37" s="383">
        <f t="shared" si="116"/>
        <v>0</v>
      </c>
      <c r="G37" s="383">
        <f t="shared" si="117"/>
        <v>0</v>
      </c>
      <c r="H37" s="383">
        <f t="shared" si="118"/>
        <v>0</v>
      </c>
      <c r="I37" s="383">
        <f t="shared" si="119"/>
        <v>0</v>
      </c>
      <c r="J37" s="383">
        <f t="shared" si="120"/>
        <v>0</v>
      </c>
      <c r="K37" s="383">
        <f t="shared" si="108"/>
        <v>0</v>
      </c>
      <c r="L37" s="383">
        <f t="shared" si="109"/>
        <v>0</v>
      </c>
      <c r="M37" s="383">
        <f t="shared" si="93"/>
        <v>0</v>
      </c>
      <c r="N37" s="383">
        <f t="shared" si="94"/>
        <v>0</v>
      </c>
      <c r="O37" s="383">
        <f t="shared" si="121"/>
        <v>0</v>
      </c>
      <c r="P37" s="383">
        <f t="shared" si="122"/>
        <v>0</v>
      </c>
      <c r="Q37" s="383">
        <f t="shared" si="112"/>
        <v>0</v>
      </c>
      <c r="R37" s="383">
        <f t="shared" si="95"/>
        <v>0</v>
      </c>
      <c r="S37" s="383">
        <f t="shared" si="96"/>
        <v>0</v>
      </c>
      <c r="T37" s="383">
        <f t="shared" si="97"/>
        <v>0</v>
      </c>
      <c r="U37" s="384" t="e">
        <f t="shared" si="123"/>
        <v>#DIV/0!</v>
      </c>
      <c r="V37" s="384" t="e">
        <f t="shared" si="124"/>
        <v>#DIV/0!</v>
      </c>
      <c r="AC37" s="376"/>
    </row>
    <row r="38" spans="1:116" x14ac:dyDescent="0.15">
      <c r="A38" s="382" t="str">
        <f t="shared" si="100"/>
        <v>Thread 12</v>
      </c>
      <c r="B38" s="383">
        <f t="shared" si="113"/>
        <v>0</v>
      </c>
      <c r="C38" s="383">
        <f t="shared" si="114"/>
        <v>0</v>
      </c>
      <c r="D38" s="383">
        <f t="shared" si="115"/>
        <v>0</v>
      </c>
      <c r="E38" s="383">
        <f t="shared" si="104"/>
        <v>0</v>
      </c>
      <c r="F38" s="383">
        <f t="shared" si="116"/>
        <v>0</v>
      </c>
      <c r="G38" s="383">
        <f t="shared" si="117"/>
        <v>0</v>
      </c>
      <c r="H38" s="383">
        <f t="shared" si="118"/>
        <v>0</v>
      </c>
      <c r="I38" s="383">
        <f t="shared" si="119"/>
        <v>0</v>
      </c>
      <c r="J38" s="383">
        <f t="shared" si="120"/>
        <v>0</v>
      </c>
      <c r="K38" s="383">
        <f t="shared" si="108"/>
        <v>0</v>
      </c>
      <c r="L38" s="383">
        <f t="shared" si="109"/>
        <v>0</v>
      </c>
      <c r="M38" s="383">
        <f t="shared" si="93"/>
        <v>0</v>
      </c>
      <c r="N38" s="383">
        <f t="shared" si="94"/>
        <v>0</v>
      </c>
      <c r="O38" s="383">
        <f t="shared" si="121"/>
        <v>0</v>
      </c>
      <c r="P38" s="383">
        <f t="shared" si="122"/>
        <v>0</v>
      </c>
      <c r="Q38" s="383">
        <f t="shared" si="112"/>
        <v>0</v>
      </c>
      <c r="R38" s="383">
        <f t="shared" si="95"/>
        <v>0</v>
      </c>
      <c r="S38" s="383">
        <f t="shared" si="96"/>
        <v>0</v>
      </c>
      <c r="T38" s="383">
        <f t="shared" si="97"/>
        <v>0</v>
      </c>
      <c r="U38" s="384" t="e">
        <f t="shared" si="123"/>
        <v>#DIV/0!</v>
      </c>
      <c r="V38" s="384" t="e">
        <f t="shared" si="124"/>
        <v>#DIV/0!</v>
      </c>
      <c r="AC38" s="376"/>
    </row>
    <row r="39" spans="1:116" x14ac:dyDescent="0.15">
      <c r="A39" s="382" t="str">
        <f t="shared" si="100"/>
        <v>Thread 13</v>
      </c>
      <c r="B39" s="383">
        <f t="shared" si="113"/>
        <v>0</v>
      </c>
      <c r="C39" s="383">
        <f t="shared" si="114"/>
        <v>0</v>
      </c>
      <c r="D39" s="383">
        <f t="shared" si="115"/>
        <v>0</v>
      </c>
      <c r="E39" s="383">
        <f t="shared" si="104"/>
        <v>0</v>
      </c>
      <c r="F39" s="383">
        <f t="shared" si="116"/>
        <v>0</v>
      </c>
      <c r="G39" s="383">
        <f t="shared" si="117"/>
        <v>0</v>
      </c>
      <c r="H39" s="383">
        <f t="shared" si="118"/>
        <v>0</v>
      </c>
      <c r="I39" s="383">
        <f t="shared" si="119"/>
        <v>0</v>
      </c>
      <c r="J39" s="383">
        <f t="shared" si="120"/>
        <v>0</v>
      </c>
      <c r="K39" s="383">
        <f t="shared" si="108"/>
        <v>0</v>
      </c>
      <c r="L39" s="383">
        <f t="shared" si="109"/>
        <v>0</v>
      </c>
      <c r="M39" s="383">
        <f t="shared" si="93"/>
        <v>0</v>
      </c>
      <c r="N39" s="383">
        <f t="shared" si="94"/>
        <v>0</v>
      </c>
      <c r="O39" s="383">
        <f t="shared" si="121"/>
        <v>0</v>
      </c>
      <c r="P39" s="383">
        <f t="shared" si="122"/>
        <v>0</v>
      </c>
      <c r="Q39" s="383">
        <f t="shared" si="112"/>
        <v>0</v>
      </c>
      <c r="R39" s="383">
        <f t="shared" si="95"/>
        <v>0</v>
      </c>
      <c r="S39" s="383">
        <f t="shared" si="96"/>
        <v>0</v>
      </c>
      <c r="T39" s="383">
        <f t="shared" si="97"/>
        <v>0</v>
      </c>
      <c r="U39" s="384" t="e">
        <f t="shared" si="123"/>
        <v>#DIV/0!</v>
      </c>
      <c r="V39" s="384" t="e">
        <f t="shared" si="124"/>
        <v>#DIV/0!</v>
      </c>
      <c r="AC39" s="376"/>
    </row>
    <row r="40" spans="1:116" x14ac:dyDescent="0.15">
      <c r="A40" s="382" t="str">
        <f t="shared" si="100"/>
        <v>Thread 14</v>
      </c>
      <c r="B40" s="383">
        <f t="shared" si="113"/>
        <v>0</v>
      </c>
      <c r="C40" s="383">
        <f t="shared" si="114"/>
        <v>0</v>
      </c>
      <c r="D40" s="383">
        <f t="shared" si="115"/>
        <v>0</v>
      </c>
      <c r="E40" s="383">
        <f t="shared" si="104"/>
        <v>0</v>
      </c>
      <c r="F40" s="383">
        <f t="shared" si="116"/>
        <v>0</v>
      </c>
      <c r="G40" s="383">
        <f t="shared" si="117"/>
        <v>0</v>
      </c>
      <c r="H40" s="383">
        <f t="shared" si="118"/>
        <v>0</v>
      </c>
      <c r="I40" s="383">
        <f t="shared" si="119"/>
        <v>0</v>
      </c>
      <c r="J40" s="383">
        <f t="shared" si="120"/>
        <v>0</v>
      </c>
      <c r="K40" s="383">
        <f t="shared" si="108"/>
        <v>0</v>
      </c>
      <c r="L40" s="383">
        <f t="shared" si="109"/>
        <v>0</v>
      </c>
      <c r="M40" s="383">
        <f t="shared" si="93"/>
        <v>0</v>
      </c>
      <c r="N40" s="383">
        <f t="shared" si="94"/>
        <v>0</v>
      </c>
      <c r="O40" s="383">
        <f t="shared" si="121"/>
        <v>0</v>
      </c>
      <c r="P40" s="383">
        <f t="shared" si="122"/>
        <v>0</v>
      </c>
      <c r="Q40" s="383">
        <f t="shared" si="112"/>
        <v>0</v>
      </c>
      <c r="R40" s="383">
        <f t="shared" si="95"/>
        <v>0</v>
      </c>
      <c r="S40" s="383">
        <f t="shared" si="96"/>
        <v>0</v>
      </c>
      <c r="T40" s="383">
        <f t="shared" si="97"/>
        <v>0</v>
      </c>
      <c r="U40" s="384" t="e">
        <f t="shared" si="123"/>
        <v>#DIV/0!</v>
      </c>
      <c r="V40" s="384" t="e">
        <f t="shared" si="124"/>
        <v>#DIV/0!</v>
      </c>
      <c r="AC40" s="376"/>
    </row>
    <row r="41" spans="1:116" x14ac:dyDescent="0.15">
      <c r="A41" s="382" t="str">
        <f t="shared" si="100"/>
        <v>Thread 15</v>
      </c>
      <c r="B41" s="383">
        <f t="shared" si="113"/>
        <v>0</v>
      </c>
      <c r="C41" s="383">
        <f t="shared" si="114"/>
        <v>0</v>
      </c>
      <c r="D41" s="383">
        <f t="shared" si="115"/>
        <v>0</v>
      </c>
      <c r="E41" s="383">
        <f t="shared" si="104"/>
        <v>0</v>
      </c>
      <c r="F41" s="383">
        <f t="shared" si="116"/>
        <v>0</v>
      </c>
      <c r="G41" s="383">
        <f t="shared" si="117"/>
        <v>0</v>
      </c>
      <c r="H41" s="383">
        <f t="shared" si="118"/>
        <v>0</v>
      </c>
      <c r="I41" s="383">
        <f t="shared" si="119"/>
        <v>0</v>
      </c>
      <c r="J41" s="383">
        <f t="shared" si="120"/>
        <v>0</v>
      </c>
      <c r="K41" s="383">
        <f t="shared" si="108"/>
        <v>0</v>
      </c>
      <c r="L41" s="383">
        <f t="shared" si="109"/>
        <v>0</v>
      </c>
      <c r="M41" s="383">
        <f t="shared" si="93"/>
        <v>0</v>
      </c>
      <c r="N41" s="383">
        <f t="shared" si="94"/>
        <v>0</v>
      </c>
      <c r="O41" s="383">
        <f t="shared" si="121"/>
        <v>0</v>
      </c>
      <c r="P41" s="383">
        <f t="shared" si="122"/>
        <v>0</v>
      </c>
      <c r="Q41" s="383">
        <f t="shared" si="112"/>
        <v>0</v>
      </c>
      <c r="R41" s="383">
        <f t="shared" si="95"/>
        <v>0</v>
      </c>
      <c r="S41" s="383">
        <f t="shared" si="96"/>
        <v>0</v>
      </c>
      <c r="T41" s="383">
        <f t="shared" si="97"/>
        <v>0</v>
      </c>
      <c r="U41" s="384" t="e">
        <f t="shared" si="123"/>
        <v>#DIV/0!</v>
      </c>
      <c r="V41" s="384" t="e">
        <f t="shared" si="124"/>
        <v>#DIV/0!</v>
      </c>
      <c r="AC41" s="376"/>
    </row>
    <row r="42" spans="1:116" x14ac:dyDescent="0.15">
      <c r="A42" s="382" t="str">
        <f t="shared" si="100"/>
        <v>◆バリア同期待ち最少スレッド</v>
      </c>
      <c r="B42" s="383">
        <f t="shared" si="113"/>
        <v>0</v>
      </c>
      <c r="C42" s="383">
        <f t="shared" si="114"/>
        <v>0</v>
      </c>
      <c r="D42" s="383">
        <f t="shared" si="115"/>
        <v>0</v>
      </c>
      <c r="E42" s="383">
        <f t="shared" si="104"/>
        <v>0</v>
      </c>
      <c r="F42" s="383">
        <f t="shared" si="116"/>
        <v>0</v>
      </c>
      <c r="G42" s="383">
        <f t="shared" si="117"/>
        <v>0</v>
      </c>
      <c r="H42" s="383">
        <f t="shared" si="118"/>
        <v>0</v>
      </c>
      <c r="I42" s="383">
        <f t="shared" si="119"/>
        <v>0</v>
      </c>
      <c r="J42" s="383">
        <f t="shared" si="120"/>
        <v>0</v>
      </c>
      <c r="K42" s="383">
        <f t="shared" si="108"/>
        <v>0</v>
      </c>
      <c r="L42" s="383">
        <f t="shared" si="109"/>
        <v>0</v>
      </c>
      <c r="M42" s="383">
        <f t="shared" si="93"/>
        <v>0</v>
      </c>
      <c r="N42" s="383">
        <f t="shared" si="94"/>
        <v>0</v>
      </c>
      <c r="O42" s="383">
        <f t="shared" si="121"/>
        <v>0</v>
      </c>
      <c r="P42" s="383">
        <f t="shared" si="122"/>
        <v>0</v>
      </c>
      <c r="Q42" s="383">
        <f t="shared" si="112"/>
        <v>0</v>
      </c>
      <c r="R42" s="383">
        <f t="shared" si="95"/>
        <v>0</v>
      </c>
      <c r="S42" s="383">
        <f t="shared" si="96"/>
        <v>0</v>
      </c>
      <c r="T42" s="383">
        <f t="shared" si="97"/>
        <v>0</v>
      </c>
      <c r="U42" s="384" t="e">
        <f t="shared" si="123"/>
        <v>#DIV/0!</v>
      </c>
      <c r="V42" s="384" t="e">
        <f t="shared" si="124"/>
        <v>#DIV/0!</v>
      </c>
      <c r="AC42" s="376"/>
    </row>
    <row r="43" spans="1:116" x14ac:dyDescent="0.15">
      <c r="A43" s="382" t="e">
        <f t="shared" si="100"/>
        <v>#N/A</v>
      </c>
      <c r="B43" s="383" t="e">
        <f t="shared" si="113"/>
        <v>#N/A</v>
      </c>
      <c r="C43" s="383" t="e">
        <f t="shared" si="114"/>
        <v>#N/A</v>
      </c>
      <c r="D43" s="383" t="e">
        <f t="shared" si="115"/>
        <v>#N/A</v>
      </c>
      <c r="E43" s="383" t="e">
        <f t="shared" si="104"/>
        <v>#N/A</v>
      </c>
      <c r="F43" s="383" t="e">
        <f t="shared" si="116"/>
        <v>#N/A</v>
      </c>
      <c r="G43" s="383" t="e">
        <f t="shared" si="117"/>
        <v>#N/A</v>
      </c>
      <c r="H43" s="383" t="e">
        <f t="shared" si="118"/>
        <v>#N/A</v>
      </c>
      <c r="I43" s="383" t="e">
        <f t="shared" si="119"/>
        <v>#N/A</v>
      </c>
      <c r="J43" s="383" t="e">
        <f t="shared" si="120"/>
        <v>#N/A</v>
      </c>
      <c r="K43" s="383" t="e">
        <f t="shared" si="108"/>
        <v>#N/A</v>
      </c>
      <c r="L43" s="383" t="e">
        <f t="shared" si="109"/>
        <v>#N/A</v>
      </c>
      <c r="M43" s="383" t="e">
        <f t="shared" si="93"/>
        <v>#N/A</v>
      </c>
      <c r="N43" s="383" t="e">
        <f t="shared" si="94"/>
        <v>#N/A</v>
      </c>
      <c r="O43" s="383" t="e">
        <f t="shared" si="121"/>
        <v>#N/A</v>
      </c>
      <c r="P43" s="383" t="e">
        <f t="shared" si="122"/>
        <v>#N/A</v>
      </c>
      <c r="Q43" s="383">
        <f t="shared" si="112"/>
        <v>0</v>
      </c>
      <c r="R43" s="383" t="e">
        <f t="shared" si="95"/>
        <v>#N/A</v>
      </c>
      <c r="S43" s="383" t="e">
        <f t="shared" si="96"/>
        <v>#N/A</v>
      </c>
      <c r="T43" s="383" t="e">
        <f t="shared" si="97"/>
        <v>#N/A</v>
      </c>
      <c r="U43" s="384" t="e">
        <f t="shared" si="123"/>
        <v>#N/A</v>
      </c>
      <c r="V43" s="384" t="e">
        <f t="shared" si="124"/>
        <v>#N/A</v>
      </c>
      <c r="AC43" s="376"/>
    </row>
    <row r="44" spans="1:116" x14ac:dyDescent="0.15">
      <c r="A44" s="382">
        <f t="shared" si="100"/>
        <v>0</v>
      </c>
      <c r="B44" s="383">
        <f t="shared" si="113"/>
        <v>0</v>
      </c>
      <c r="C44" s="383">
        <f t="shared" si="114"/>
        <v>0</v>
      </c>
      <c r="D44" s="383">
        <f t="shared" si="115"/>
        <v>0</v>
      </c>
      <c r="E44" s="383">
        <f t="shared" si="104"/>
        <v>0</v>
      </c>
      <c r="F44" s="383">
        <f t="shared" si="116"/>
        <v>0</v>
      </c>
      <c r="G44" s="383">
        <f t="shared" si="117"/>
        <v>0</v>
      </c>
      <c r="H44" s="383">
        <f t="shared" si="118"/>
        <v>0</v>
      </c>
      <c r="I44" s="383">
        <f t="shared" si="119"/>
        <v>0</v>
      </c>
      <c r="J44" s="383">
        <f t="shared" si="120"/>
        <v>0</v>
      </c>
      <c r="K44" s="383">
        <f t="shared" si="108"/>
        <v>0</v>
      </c>
      <c r="L44" s="383">
        <f t="shared" si="109"/>
        <v>0</v>
      </c>
      <c r="M44" s="383">
        <f t="shared" si="93"/>
        <v>0</v>
      </c>
      <c r="N44" s="383">
        <f t="shared" si="94"/>
        <v>0</v>
      </c>
      <c r="O44" s="383">
        <f t="shared" si="121"/>
        <v>0</v>
      </c>
      <c r="P44" s="383">
        <f t="shared" si="122"/>
        <v>0</v>
      </c>
      <c r="Q44" s="383">
        <f t="shared" si="112"/>
        <v>0</v>
      </c>
      <c r="R44" s="383">
        <f t="shared" si="95"/>
        <v>0</v>
      </c>
      <c r="S44" s="383">
        <f t="shared" si="96"/>
        <v>0</v>
      </c>
      <c r="T44" s="383">
        <f t="shared" si="97"/>
        <v>0</v>
      </c>
      <c r="U44" s="384" t="e">
        <f t="shared" si="123"/>
        <v>#DIV/0!</v>
      </c>
      <c r="V44" s="384" t="e">
        <f t="shared" si="124"/>
        <v>#DIV/0!</v>
      </c>
      <c r="AC44" s="376"/>
    </row>
    <row r="45" spans="1:116" x14ac:dyDescent="0.15">
      <c r="A45" s="382">
        <f t="shared" si="100"/>
        <v>0</v>
      </c>
      <c r="B45" s="383">
        <f t="shared" si="113"/>
        <v>0</v>
      </c>
      <c r="C45" s="383">
        <f t="shared" si="114"/>
        <v>0</v>
      </c>
      <c r="D45" s="383">
        <f t="shared" si="115"/>
        <v>0</v>
      </c>
      <c r="E45" s="383">
        <f t="shared" si="104"/>
        <v>0</v>
      </c>
      <c r="F45" s="383">
        <f t="shared" si="116"/>
        <v>0</v>
      </c>
      <c r="G45" s="383">
        <f t="shared" si="117"/>
        <v>0</v>
      </c>
      <c r="H45" s="383">
        <f t="shared" si="118"/>
        <v>0</v>
      </c>
      <c r="I45" s="383">
        <f t="shared" si="119"/>
        <v>0</v>
      </c>
      <c r="J45" s="383">
        <f t="shared" si="120"/>
        <v>0</v>
      </c>
      <c r="K45" s="383">
        <f t="shared" si="108"/>
        <v>0</v>
      </c>
      <c r="L45" s="383">
        <f t="shared" si="109"/>
        <v>0</v>
      </c>
      <c r="M45" s="383">
        <f t="shared" si="93"/>
        <v>0</v>
      </c>
      <c r="N45" s="383">
        <f t="shared" si="94"/>
        <v>0</v>
      </c>
      <c r="O45" s="383">
        <f t="shared" si="121"/>
        <v>0</v>
      </c>
      <c r="P45" s="383">
        <f t="shared" si="122"/>
        <v>0</v>
      </c>
      <c r="Q45" s="383">
        <f t="shared" si="112"/>
        <v>0</v>
      </c>
      <c r="R45" s="383">
        <f t="shared" si="95"/>
        <v>0</v>
      </c>
      <c r="S45" s="383">
        <f t="shared" si="96"/>
        <v>0</v>
      </c>
      <c r="T45" s="383">
        <f t="shared" si="97"/>
        <v>0</v>
      </c>
      <c r="U45" s="384" t="e">
        <f t="shared" si="123"/>
        <v>#DIV/0!</v>
      </c>
      <c r="V45" s="384" t="e">
        <f t="shared" si="124"/>
        <v>#DIV/0!</v>
      </c>
      <c r="AC45" s="376"/>
    </row>
    <row r="46" spans="1:116" x14ac:dyDescent="0.15">
      <c r="A46" s="387"/>
      <c r="B46" s="386"/>
      <c r="C46" s="386"/>
      <c r="D46" s="386"/>
      <c r="E46" s="386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6"/>
      <c r="R46" s="386"/>
      <c r="S46" s="386"/>
      <c r="T46" s="386"/>
      <c r="AB46" s="376"/>
    </row>
    <row r="47" spans="1:116" x14ac:dyDescent="0.15">
      <c r="A47" s="387"/>
      <c r="B47" s="386"/>
      <c r="C47" s="386"/>
      <c r="D47" s="386"/>
      <c r="E47" s="386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6"/>
      <c r="R47" s="386"/>
      <c r="S47" s="386"/>
      <c r="T47" s="386"/>
      <c r="AB47" s="376"/>
    </row>
    <row r="48" spans="1:116" x14ac:dyDescent="0.15">
      <c r="A48" s="387"/>
      <c r="B48" s="386"/>
      <c r="C48" s="386"/>
      <c r="D48" s="386"/>
      <c r="E48" s="386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</row>
    <row r="49" spans="1:57" x14ac:dyDescent="0.15">
      <c r="A49" s="388" t="s">
        <v>72</v>
      </c>
      <c r="B49" s="376"/>
      <c r="J49" s="348"/>
    </row>
    <row r="50" spans="1:57" s="389" customFormat="1" x14ac:dyDescent="0.15">
      <c r="A50" s="207"/>
      <c r="B50" s="207" t="str">
        <f>B2</f>
        <v>cycle_counts</v>
      </c>
      <c r="C50" s="207" t="str">
        <f t="shared" ref="C50:BE50" si="125">C2</f>
        <v>op_stv_wait_sxmiss</v>
      </c>
      <c r="D50" s="207" t="str">
        <f t="shared" si="125"/>
        <v>op_stv_wait_sxmiss_ex</v>
      </c>
      <c r="E50" s="207" t="str">
        <f t="shared" si="125"/>
        <v>op_stv_wait_nc_pend</v>
      </c>
      <c r="F50" s="207" t="str">
        <f t="shared" si="125"/>
        <v>op_stv_wait_ex</v>
      </c>
      <c r="G50" s="207" t="str">
        <f t="shared" si="125"/>
        <v>op_stv_wait</v>
      </c>
      <c r="H50" s="207" t="str">
        <f t="shared" si="125"/>
        <v>branch_instructions</v>
      </c>
      <c r="I50" s="207" t="str">
        <f t="shared" si="125"/>
        <v>efective_instruction_counts</v>
      </c>
      <c r="J50" s="207" t="str">
        <f t="shared" si="125"/>
        <v>cse_window_empty</v>
      </c>
      <c r="K50" s="207" t="str">
        <f t="shared" si="125"/>
        <v>eu_comp_wait</v>
      </c>
      <c r="L50" s="207" t="str">
        <f t="shared" si="125"/>
        <v>branch_comp_wait</v>
      </c>
      <c r="M50" s="207" t="str">
        <f t="shared" si="125"/>
        <v>load_store_instructions</v>
      </c>
      <c r="N50" s="207" t="str">
        <f t="shared" si="125"/>
        <v>cse_window_empty_sp_full</v>
      </c>
      <c r="O50" s="207" t="str">
        <f t="shared" si="125"/>
        <v>fl_comp_wait</v>
      </c>
      <c r="P50" s="207" t="str">
        <f t="shared" si="125"/>
        <v>sleep_cycle</v>
      </c>
      <c r="Q50" s="207" t="str">
        <f t="shared" si="125"/>
        <v>cycle_counts</v>
      </c>
      <c r="R50" s="207" t="str">
        <f t="shared" si="125"/>
        <v>inh_cmit_gpr_2write</v>
      </c>
      <c r="S50" s="207" t="str">
        <f t="shared" si="125"/>
        <v>floating_instructions</v>
      </c>
      <c r="T50" s="207" t="str">
        <f t="shared" si="125"/>
        <v>fma_instructions</v>
      </c>
      <c r="U50" s="207" t="str">
        <f t="shared" si="125"/>
        <v>0endop</v>
      </c>
      <c r="V50" s="207" t="str">
        <f t="shared" si="125"/>
        <v>3endop</v>
      </c>
      <c r="W50" s="207" t="str">
        <f t="shared" si="125"/>
        <v>cycle_counts</v>
      </c>
      <c r="X50" s="207" t="str">
        <f t="shared" si="125"/>
        <v>1endop</v>
      </c>
      <c r="Y50" s="207" t="str">
        <f t="shared" si="125"/>
        <v>2endop</v>
      </c>
      <c r="Z50" s="207" t="str">
        <f t="shared" si="125"/>
        <v>cycle_counts</v>
      </c>
      <c r="AA50" s="207" t="str">
        <f t="shared" si="125"/>
        <v>prefetch_instructions</v>
      </c>
      <c r="AB50" s="207" t="str">
        <f t="shared" si="125"/>
        <v>L2_miss_dm</v>
      </c>
      <c r="AC50" s="207" t="str">
        <f t="shared" si="125"/>
        <v>L2_miss_pf</v>
      </c>
      <c r="AD50" s="207" t="str">
        <f t="shared" si="125"/>
        <v>instruction_flow_counts</v>
      </c>
      <c r="AE50" s="207" t="str">
        <f t="shared" si="125"/>
        <v>L1D_miss</v>
      </c>
      <c r="AF50" s="207" t="str">
        <f t="shared" si="125"/>
        <v>L2_wb_dm</v>
      </c>
      <c r="AG50" s="207" t="str">
        <f t="shared" si="125"/>
        <v>L2_wb_pf</v>
      </c>
      <c r="AH50" s="207" t="str">
        <f t="shared" si="125"/>
        <v>SIMD_load_store_instructions</v>
      </c>
      <c r="AI50" s="207" t="str">
        <f t="shared" si="125"/>
        <v>SIMD_floating_instructions</v>
      </c>
      <c r="AJ50" s="207" t="str">
        <f t="shared" si="125"/>
        <v>SIMD_fma_instructions</v>
      </c>
      <c r="AK50" s="207" t="str">
        <f t="shared" si="125"/>
        <v>uDTLB_miss</v>
      </c>
      <c r="AL50" s="207" t="str">
        <f t="shared" si="125"/>
        <v>cycle_counts</v>
      </c>
      <c r="AM50" s="207" t="str">
        <f t="shared" si="125"/>
        <v>SIMD_fl_load_instructions</v>
      </c>
      <c r="AN50" s="207" t="str">
        <f t="shared" si="125"/>
        <v>SIMD_fl_store_instructions</v>
      </c>
      <c r="AO50" s="207" t="str">
        <f t="shared" si="125"/>
        <v>trap_DMMU_miss</v>
      </c>
      <c r="AP50" s="207" t="str">
        <f t="shared" si="125"/>
        <v>cycle_counts</v>
      </c>
      <c r="AQ50" s="207" t="str">
        <f t="shared" si="125"/>
        <v>ex_load_instructions</v>
      </c>
      <c r="AR50" s="207" t="str">
        <f t="shared" si="125"/>
        <v>ex_store_instructions</v>
      </c>
      <c r="AS50" s="207" t="str">
        <f t="shared" si="125"/>
        <v>fl_load_instructions</v>
      </c>
      <c r="AT50" s="207" t="str">
        <f t="shared" si="125"/>
        <v>fl_store_instructions</v>
      </c>
      <c r="AU50" s="207" t="str">
        <f t="shared" si="125"/>
        <v>L1D_miss_dm</v>
      </c>
      <c r="AV50" s="207" t="str">
        <f t="shared" si="125"/>
        <v>L1D_miss_pf</v>
      </c>
      <c r="AW50" s="207" t="str">
        <f t="shared" si="125"/>
        <v>L1D_miss_qpf</v>
      </c>
      <c r="AX50" s="207" t="str">
        <f>AX2</f>
        <v>uITLB_miss2</v>
      </c>
      <c r="AY50" s="207" t="str">
        <f>AY2</f>
        <v>uDTLB_miss2</v>
      </c>
      <c r="AZ50" s="207" t="str">
        <f t="shared" si="125"/>
        <v>single_sxar_commit</v>
      </c>
      <c r="BA50" s="207" t="str">
        <f>BA2</f>
        <v>cycle_counts</v>
      </c>
      <c r="BB50" s="207" t="str">
        <f t="shared" si="125"/>
        <v>L1I_miss</v>
      </c>
      <c r="BC50" s="207" t="str">
        <f t="shared" si="125"/>
        <v>unpack_sxar1</v>
      </c>
      <c r="BD50" s="207" t="str">
        <f t="shared" si="125"/>
        <v>unpack_sxar2</v>
      </c>
      <c r="BE50" s="207" t="str">
        <f t="shared" si="125"/>
        <v>op_stv_wait_swpf</v>
      </c>
    </row>
    <row r="51" spans="1:57" s="209" customFormat="1" x14ac:dyDescent="0.15">
      <c r="A51" s="390" t="str">
        <f>A3</f>
        <v>Thread 0</v>
      </c>
      <c r="B51" s="391" t="e">
        <f t="shared" ref="B51:AG51" si="126">B3/$I3</f>
        <v>#DIV/0!</v>
      </c>
      <c r="C51" s="391" t="e">
        <f t="shared" si="126"/>
        <v>#DIV/0!</v>
      </c>
      <c r="D51" s="391" t="e">
        <f t="shared" si="126"/>
        <v>#DIV/0!</v>
      </c>
      <c r="E51" s="391" t="e">
        <f t="shared" si="126"/>
        <v>#DIV/0!</v>
      </c>
      <c r="F51" s="391" t="e">
        <f t="shared" si="126"/>
        <v>#DIV/0!</v>
      </c>
      <c r="G51" s="391" t="e">
        <f t="shared" si="126"/>
        <v>#DIV/0!</v>
      </c>
      <c r="H51" s="391" t="e">
        <f t="shared" si="126"/>
        <v>#DIV/0!</v>
      </c>
      <c r="I51" s="391" t="e">
        <f t="shared" si="126"/>
        <v>#DIV/0!</v>
      </c>
      <c r="J51" s="391" t="e">
        <f t="shared" si="126"/>
        <v>#DIV/0!</v>
      </c>
      <c r="K51" s="391" t="e">
        <f t="shared" si="126"/>
        <v>#DIV/0!</v>
      </c>
      <c r="L51" s="391" t="e">
        <f t="shared" si="126"/>
        <v>#DIV/0!</v>
      </c>
      <c r="M51" s="391" t="e">
        <f t="shared" si="126"/>
        <v>#DIV/0!</v>
      </c>
      <c r="N51" s="391" t="e">
        <f t="shared" si="126"/>
        <v>#DIV/0!</v>
      </c>
      <c r="O51" s="391" t="e">
        <f t="shared" si="126"/>
        <v>#DIV/0!</v>
      </c>
      <c r="P51" s="391" t="e">
        <f t="shared" si="126"/>
        <v>#DIV/0!</v>
      </c>
      <c r="Q51" s="391" t="e">
        <f t="shared" si="126"/>
        <v>#DIV/0!</v>
      </c>
      <c r="R51" s="391" t="e">
        <f t="shared" si="126"/>
        <v>#DIV/0!</v>
      </c>
      <c r="S51" s="391" t="e">
        <f t="shared" si="126"/>
        <v>#DIV/0!</v>
      </c>
      <c r="T51" s="391" t="e">
        <f t="shared" si="126"/>
        <v>#DIV/0!</v>
      </c>
      <c r="U51" s="391" t="e">
        <f t="shared" si="126"/>
        <v>#DIV/0!</v>
      </c>
      <c r="V51" s="391" t="e">
        <f t="shared" si="126"/>
        <v>#DIV/0!</v>
      </c>
      <c r="W51" s="391" t="e">
        <f t="shared" si="126"/>
        <v>#DIV/0!</v>
      </c>
      <c r="X51" s="391" t="e">
        <f t="shared" si="126"/>
        <v>#DIV/0!</v>
      </c>
      <c r="Y51" s="391" t="e">
        <f t="shared" si="126"/>
        <v>#DIV/0!</v>
      </c>
      <c r="Z51" s="391" t="e">
        <f t="shared" si="126"/>
        <v>#DIV/0!</v>
      </c>
      <c r="AA51" s="391" t="e">
        <f t="shared" si="126"/>
        <v>#DIV/0!</v>
      </c>
      <c r="AB51" s="391" t="e">
        <f t="shared" si="126"/>
        <v>#DIV/0!</v>
      </c>
      <c r="AC51" s="391" t="e">
        <f t="shared" si="126"/>
        <v>#DIV/0!</v>
      </c>
      <c r="AD51" s="391" t="e">
        <f t="shared" si="126"/>
        <v>#DIV/0!</v>
      </c>
      <c r="AE51" s="391" t="e">
        <f t="shared" si="126"/>
        <v>#DIV/0!</v>
      </c>
      <c r="AF51" s="391" t="e">
        <f t="shared" si="126"/>
        <v>#DIV/0!</v>
      </c>
      <c r="AG51" s="391" t="e">
        <f t="shared" si="126"/>
        <v>#DIV/0!</v>
      </c>
      <c r="AH51" s="391" t="e">
        <f t="shared" ref="AH51:BE51" si="127">AH3/$I3</f>
        <v>#DIV/0!</v>
      </c>
      <c r="AI51" s="391" t="e">
        <f t="shared" si="127"/>
        <v>#DIV/0!</v>
      </c>
      <c r="AJ51" s="391" t="e">
        <f t="shared" si="127"/>
        <v>#DIV/0!</v>
      </c>
      <c r="AK51" s="391" t="e">
        <f t="shared" si="127"/>
        <v>#DIV/0!</v>
      </c>
      <c r="AL51" s="391" t="e">
        <f t="shared" si="127"/>
        <v>#DIV/0!</v>
      </c>
      <c r="AM51" s="391" t="e">
        <f t="shared" si="127"/>
        <v>#DIV/0!</v>
      </c>
      <c r="AN51" s="391" t="e">
        <f t="shared" si="127"/>
        <v>#DIV/0!</v>
      </c>
      <c r="AO51" s="391" t="e">
        <f t="shared" si="127"/>
        <v>#DIV/0!</v>
      </c>
      <c r="AP51" s="391" t="e">
        <f t="shared" si="127"/>
        <v>#DIV/0!</v>
      </c>
      <c r="AQ51" s="391" t="e">
        <f t="shared" si="127"/>
        <v>#DIV/0!</v>
      </c>
      <c r="AR51" s="391" t="e">
        <f t="shared" si="127"/>
        <v>#DIV/0!</v>
      </c>
      <c r="AS51" s="391" t="e">
        <f t="shared" si="127"/>
        <v>#DIV/0!</v>
      </c>
      <c r="AT51" s="391" t="e">
        <f t="shared" si="127"/>
        <v>#DIV/0!</v>
      </c>
      <c r="AU51" s="391" t="e">
        <f t="shared" si="127"/>
        <v>#DIV/0!</v>
      </c>
      <c r="AV51" s="391" t="e">
        <f t="shared" si="127"/>
        <v>#DIV/0!</v>
      </c>
      <c r="AW51" s="391" t="e">
        <f t="shared" si="127"/>
        <v>#DIV/0!</v>
      </c>
      <c r="AX51" s="391" t="e">
        <f t="shared" ref="AX51:AY70" si="128">AX3/$I3</f>
        <v>#DIV/0!</v>
      </c>
      <c r="AY51" s="391" t="e">
        <f t="shared" si="128"/>
        <v>#DIV/0!</v>
      </c>
      <c r="AZ51" s="391" t="e">
        <f t="shared" si="127"/>
        <v>#DIV/0!</v>
      </c>
      <c r="BA51" s="391" t="e">
        <f t="shared" ref="BA51:BA70" si="129">BA3/$I3</f>
        <v>#DIV/0!</v>
      </c>
      <c r="BB51" s="391" t="e">
        <f t="shared" si="127"/>
        <v>#DIV/0!</v>
      </c>
      <c r="BC51" s="391" t="e">
        <f t="shared" si="127"/>
        <v>#DIV/0!</v>
      </c>
      <c r="BD51" s="391" t="e">
        <f t="shared" si="127"/>
        <v>#DIV/0!</v>
      </c>
      <c r="BE51" s="391" t="e">
        <f t="shared" si="127"/>
        <v>#DIV/0!</v>
      </c>
    </row>
    <row r="52" spans="1:57" s="209" customFormat="1" x14ac:dyDescent="0.15">
      <c r="A52" s="390" t="str">
        <f t="shared" ref="A52:A59" si="130">A4</f>
        <v>Thread 1</v>
      </c>
      <c r="B52" s="391" t="e">
        <f t="shared" ref="B52:AG52" si="131">B4/$I4</f>
        <v>#DIV/0!</v>
      </c>
      <c r="C52" s="391" t="e">
        <f t="shared" si="131"/>
        <v>#DIV/0!</v>
      </c>
      <c r="D52" s="391" t="e">
        <f t="shared" si="131"/>
        <v>#DIV/0!</v>
      </c>
      <c r="E52" s="391" t="e">
        <f t="shared" si="131"/>
        <v>#DIV/0!</v>
      </c>
      <c r="F52" s="391" t="e">
        <f t="shared" si="131"/>
        <v>#DIV/0!</v>
      </c>
      <c r="G52" s="391" t="e">
        <f t="shared" si="131"/>
        <v>#DIV/0!</v>
      </c>
      <c r="H52" s="391" t="e">
        <f t="shared" si="131"/>
        <v>#DIV/0!</v>
      </c>
      <c r="I52" s="391" t="e">
        <f t="shared" si="131"/>
        <v>#DIV/0!</v>
      </c>
      <c r="J52" s="391" t="e">
        <f t="shared" si="131"/>
        <v>#DIV/0!</v>
      </c>
      <c r="K52" s="391" t="e">
        <f t="shared" si="131"/>
        <v>#DIV/0!</v>
      </c>
      <c r="L52" s="391" t="e">
        <f t="shared" si="131"/>
        <v>#DIV/0!</v>
      </c>
      <c r="M52" s="391" t="e">
        <f t="shared" si="131"/>
        <v>#DIV/0!</v>
      </c>
      <c r="N52" s="391" t="e">
        <f t="shared" si="131"/>
        <v>#DIV/0!</v>
      </c>
      <c r="O52" s="391" t="e">
        <f t="shared" si="131"/>
        <v>#DIV/0!</v>
      </c>
      <c r="P52" s="391" t="e">
        <f t="shared" si="131"/>
        <v>#DIV/0!</v>
      </c>
      <c r="Q52" s="391" t="e">
        <f t="shared" si="131"/>
        <v>#DIV/0!</v>
      </c>
      <c r="R52" s="391" t="e">
        <f t="shared" si="131"/>
        <v>#DIV/0!</v>
      </c>
      <c r="S52" s="391" t="e">
        <f t="shared" si="131"/>
        <v>#DIV/0!</v>
      </c>
      <c r="T52" s="391" t="e">
        <f t="shared" si="131"/>
        <v>#DIV/0!</v>
      </c>
      <c r="U52" s="391" t="e">
        <f t="shared" si="131"/>
        <v>#DIV/0!</v>
      </c>
      <c r="V52" s="391" t="e">
        <f t="shared" si="131"/>
        <v>#DIV/0!</v>
      </c>
      <c r="W52" s="391" t="e">
        <f t="shared" si="131"/>
        <v>#DIV/0!</v>
      </c>
      <c r="X52" s="391" t="e">
        <f t="shared" si="131"/>
        <v>#DIV/0!</v>
      </c>
      <c r="Y52" s="391" t="e">
        <f t="shared" si="131"/>
        <v>#DIV/0!</v>
      </c>
      <c r="Z52" s="391" t="e">
        <f t="shared" si="131"/>
        <v>#DIV/0!</v>
      </c>
      <c r="AA52" s="391" t="e">
        <f t="shared" si="131"/>
        <v>#DIV/0!</v>
      </c>
      <c r="AB52" s="391" t="e">
        <f t="shared" si="131"/>
        <v>#DIV/0!</v>
      </c>
      <c r="AC52" s="391" t="e">
        <f t="shared" si="131"/>
        <v>#DIV/0!</v>
      </c>
      <c r="AD52" s="391" t="e">
        <f t="shared" si="131"/>
        <v>#DIV/0!</v>
      </c>
      <c r="AE52" s="391" t="e">
        <f t="shared" si="131"/>
        <v>#DIV/0!</v>
      </c>
      <c r="AF52" s="391" t="e">
        <f t="shared" si="131"/>
        <v>#DIV/0!</v>
      </c>
      <c r="AG52" s="391" t="e">
        <f t="shared" si="131"/>
        <v>#DIV/0!</v>
      </c>
      <c r="AH52" s="391" t="e">
        <f t="shared" ref="AH52:BE52" si="132">AH4/$I4</f>
        <v>#DIV/0!</v>
      </c>
      <c r="AI52" s="391" t="e">
        <f t="shared" si="132"/>
        <v>#DIV/0!</v>
      </c>
      <c r="AJ52" s="391" t="e">
        <f t="shared" si="132"/>
        <v>#DIV/0!</v>
      </c>
      <c r="AK52" s="391" t="e">
        <f t="shared" si="132"/>
        <v>#DIV/0!</v>
      </c>
      <c r="AL52" s="391" t="e">
        <f t="shared" si="132"/>
        <v>#DIV/0!</v>
      </c>
      <c r="AM52" s="391" t="e">
        <f t="shared" si="132"/>
        <v>#DIV/0!</v>
      </c>
      <c r="AN52" s="391" t="e">
        <f t="shared" si="132"/>
        <v>#DIV/0!</v>
      </c>
      <c r="AO52" s="391" t="e">
        <f t="shared" si="132"/>
        <v>#DIV/0!</v>
      </c>
      <c r="AP52" s="391" t="e">
        <f t="shared" si="132"/>
        <v>#DIV/0!</v>
      </c>
      <c r="AQ52" s="391" t="e">
        <f t="shared" si="132"/>
        <v>#DIV/0!</v>
      </c>
      <c r="AR52" s="391" t="e">
        <f t="shared" si="132"/>
        <v>#DIV/0!</v>
      </c>
      <c r="AS52" s="391" t="e">
        <f t="shared" si="132"/>
        <v>#DIV/0!</v>
      </c>
      <c r="AT52" s="391" t="e">
        <f t="shared" si="132"/>
        <v>#DIV/0!</v>
      </c>
      <c r="AU52" s="391" t="e">
        <f t="shared" si="132"/>
        <v>#DIV/0!</v>
      </c>
      <c r="AV52" s="391" t="e">
        <f t="shared" si="132"/>
        <v>#DIV/0!</v>
      </c>
      <c r="AW52" s="391" t="e">
        <f t="shared" si="132"/>
        <v>#DIV/0!</v>
      </c>
      <c r="AX52" s="391" t="e">
        <f t="shared" si="128"/>
        <v>#DIV/0!</v>
      </c>
      <c r="AY52" s="391" t="e">
        <f t="shared" si="128"/>
        <v>#DIV/0!</v>
      </c>
      <c r="AZ52" s="391" t="e">
        <f t="shared" si="132"/>
        <v>#DIV/0!</v>
      </c>
      <c r="BA52" s="391" t="e">
        <f t="shared" si="129"/>
        <v>#DIV/0!</v>
      </c>
      <c r="BB52" s="391" t="e">
        <f t="shared" si="132"/>
        <v>#DIV/0!</v>
      </c>
      <c r="BC52" s="391" t="e">
        <f t="shared" si="132"/>
        <v>#DIV/0!</v>
      </c>
      <c r="BD52" s="391" t="e">
        <f t="shared" si="132"/>
        <v>#DIV/0!</v>
      </c>
      <c r="BE52" s="391" t="e">
        <f t="shared" si="132"/>
        <v>#DIV/0!</v>
      </c>
    </row>
    <row r="53" spans="1:57" s="209" customFormat="1" x14ac:dyDescent="0.15">
      <c r="A53" s="390" t="str">
        <f t="shared" si="130"/>
        <v>Thread 2</v>
      </c>
      <c r="B53" s="391" t="e">
        <f t="shared" ref="B53:AG53" si="133">B5/$I5</f>
        <v>#DIV/0!</v>
      </c>
      <c r="C53" s="391" t="e">
        <f t="shared" si="133"/>
        <v>#DIV/0!</v>
      </c>
      <c r="D53" s="391" t="e">
        <f t="shared" si="133"/>
        <v>#DIV/0!</v>
      </c>
      <c r="E53" s="391" t="e">
        <f t="shared" si="133"/>
        <v>#DIV/0!</v>
      </c>
      <c r="F53" s="391" t="e">
        <f t="shared" si="133"/>
        <v>#DIV/0!</v>
      </c>
      <c r="G53" s="391" t="e">
        <f t="shared" si="133"/>
        <v>#DIV/0!</v>
      </c>
      <c r="H53" s="391" t="e">
        <f t="shared" si="133"/>
        <v>#DIV/0!</v>
      </c>
      <c r="I53" s="391" t="e">
        <f t="shared" si="133"/>
        <v>#DIV/0!</v>
      </c>
      <c r="J53" s="391" t="e">
        <f t="shared" si="133"/>
        <v>#DIV/0!</v>
      </c>
      <c r="K53" s="391" t="e">
        <f t="shared" si="133"/>
        <v>#DIV/0!</v>
      </c>
      <c r="L53" s="391" t="e">
        <f t="shared" si="133"/>
        <v>#DIV/0!</v>
      </c>
      <c r="M53" s="391" t="e">
        <f t="shared" si="133"/>
        <v>#DIV/0!</v>
      </c>
      <c r="N53" s="391" t="e">
        <f t="shared" si="133"/>
        <v>#DIV/0!</v>
      </c>
      <c r="O53" s="391" t="e">
        <f t="shared" si="133"/>
        <v>#DIV/0!</v>
      </c>
      <c r="P53" s="391" t="e">
        <f t="shared" si="133"/>
        <v>#DIV/0!</v>
      </c>
      <c r="Q53" s="391" t="e">
        <f t="shared" si="133"/>
        <v>#DIV/0!</v>
      </c>
      <c r="R53" s="391" t="e">
        <f t="shared" si="133"/>
        <v>#DIV/0!</v>
      </c>
      <c r="S53" s="391" t="e">
        <f t="shared" si="133"/>
        <v>#DIV/0!</v>
      </c>
      <c r="T53" s="391" t="e">
        <f t="shared" si="133"/>
        <v>#DIV/0!</v>
      </c>
      <c r="U53" s="391" t="e">
        <f t="shared" si="133"/>
        <v>#DIV/0!</v>
      </c>
      <c r="V53" s="391" t="e">
        <f t="shared" si="133"/>
        <v>#DIV/0!</v>
      </c>
      <c r="W53" s="391" t="e">
        <f t="shared" si="133"/>
        <v>#DIV/0!</v>
      </c>
      <c r="X53" s="391" t="e">
        <f t="shared" si="133"/>
        <v>#DIV/0!</v>
      </c>
      <c r="Y53" s="391" t="e">
        <f t="shared" si="133"/>
        <v>#DIV/0!</v>
      </c>
      <c r="Z53" s="391" t="e">
        <f t="shared" si="133"/>
        <v>#DIV/0!</v>
      </c>
      <c r="AA53" s="391" t="e">
        <f t="shared" si="133"/>
        <v>#DIV/0!</v>
      </c>
      <c r="AB53" s="391" t="e">
        <f t="shared" si="133"/>
        <v>#DIV/0!</v>
      </c>
      <c r="AC53" s="391" t="e">
        <f t="shared" si="133"/>
        <v>#DIV/0!</v>
      </c>
      <c r="AD53" s="391" t="e">
        <f t="shared" si="133"/>
        <v>#DIV/0!</v>
      </c>
      <c r="AE53" s="391" t="e">
        <f t="shared" si="133"/>
        <v>#DIV/0!</v>
      </c>
      <c r="AF53" s="391" t="e">
        <f t="shared" si="133"/>
        <v>#DIV/0!</v>
      </c>
      <c r="AG53" s="391" t="e">
        <f t="shared" si="133"/>
        <v>#DIV/0!</v>
      </c>
      <c r="AH53" s="391" t="e">
        <f t="shared" ref="AH53:BE53" si="134">AH5/$I5</f>
        <v>#DIV/0!</v>
      </c>
      <c r="AI53" s="391" t="e">
        <f t="shared" si="134"/>
        <v>#DIV/0!</v>
      </c>
      <c r="AJ53" s="391" t="e">
        <f t="shared" si="134"/>
        <v>#DIV/0!</v>
      </c>
      <c r="AK53" s="391" t="e">
        <f t="shared" si="134"/>
        <v>#DIV/0!</v>
      </c>
      <c r="AL53" s="391" t="e">
        <f t="shared" si="134"/>
        <v>#DIV/0!</v>
      </c>
      <c r="AM53" s="391" t="e">
        <f t="shared" si="134"/>
        <v>#DIV/0!</v>
      </c>
      <c r="AN53" s="391" t="e">
        <f t="shared" si="134"/>
        <v>#DIV/0!</v>
      </c>
      <c r="AO53" s="391" t="e">
        <f t="shared" si="134"/>
        <v>#DIV/0!</v>
      </c>
      <c r="AP53" s="391" t="e">
        <f t="shared" si="134"/>
        <v>#DIV/0!</v>
      </c>
      <c r="AQ53" s="391" t="e">
        <f t="shared" si="134"/>
        <v>#DIV/0!</v>
      </c>
      <c r="AR53" s="391" t="e">
        <f t="shared" si="134"/>
        <v>#DIV/0!</v>
      </c>
      <c r="AS53" s="391" t="e">
        <f t="shared" si="134"/>
        <v>#DIV/0!</v>
      </c>
      <c r="AT53" s="391" t="e">
        <f t="shared" si="134"/>
        <v>#DIV/0!</v>
      </c>
      <c r="AU53" s="391" t="e">
        <f t="shared" si="134"/>
        <v>#DIV/0!</v>
      </c>
      <c r="AV53" s="391" t="e">
        <f t="shared" si="134"/>
        <v>#DIV/0!</v>
      </c>
      <c r="AW53" s="391" t="e">
        <f t="shared" si="134"/>
        <v>#DIV/0!</v>
      </c>
      <c r="AX53" s="391" t="e">
        <f t="shared" si="128"/>
        <v>#DIV/0!</v>
      </c>
      <c r="AY53" s="391" t="e">
        <f t="shared" si="128"/>
        <v>#DIV/0!</v>
      </c>
      <c r="AZ53" s="391" t="e">
        <f t="shared" si="134"/>
        <v>#DIV/0!</v>
      </c>
      <c r="BA53" s="391" t="e">
        <f t="shared" si="129"/>
        <v>#DIV/0!</v>
      </c>
      <c r="BB53" s="391" t="e">
        <f t="shared" si="134"/>
        <v>#DIV/0!</v>
      </c>
      <c r="BC53" s="391" t="e">
        <f t="shared" si="134"/>
        <v>#DIV/0!</v>
      </c>
      <c r="BD53" s="391" t="e">
        <f t="shared" si="134"/>
        <v>#DIV/0!</v>
      </c>
      <c r="BE53" s="391" t="e">
        <f t="shared" si="134"/>
        <v>#DIV/0!</v>
      </c>
    </row>
    <row r="54" spans="1:57" s="209" customFormat="1" x14ac:dyDescent="0.15">
      <c r="A54" s="390" t="str">
        <f t="shared" si="130"/>
        <v>Thread 3</v>
      </c>
      <c r="B54" s="391" t="e">
        <f t="shared" ref="B54:AG54" si="135">B6/$I6</f>
        <v>#DIV/0!</v>
      </c>
      <c r="C54" s="391" t="e">
        <f t="shared" si="135"/>
        <v>#DIV/0!</v>
      </c>
      <c r="D54" s="391" t="e">
        <f t="shared" si="135"/>
        <v>#DIV/0!</v>
      </c>
      <c r="E54" s="391" t="e">
        <f t="shared" si="135"/>
        <v>#DIV/0!</v>
      </c>
      <c r="F54" s="391" t="e">
        <f t="shared" si="135"/>
        <v>#DIV/0!</v>
      </c>
      <c r="G54" s="391" t="e">
        <f t="shared" si="135"/>
        <v>#DIV/0!</v>
      </c>
      <c r="H54" s="391" t="e">
        <f t="shared" si="135"/>
        <v>#DIV/0!</v>
      </c>
      <c r="I54" s="391" t="e">
        <f t="shared" si="135"/>
        <v>#DIV/0!</v>
      </c>
      <c r="J54" s="391" t="e">
        <f t="shared" si="135"/>
        <v>#DIV/0!</v>
      </c>
      <c r="K54" s="391" t="e">
        <f t="shared" si="135"/>
        <v>#DIV/0!</v>
      </c>
      <c r="L54" s="391" t="e">
        <f t="shared" si="135"/>
        <v>#DIV/0!</v>
      </c>
      <c r="M54" s="391" t="e">
        <f t="shared" si="135"/>
        <v>#DIV/0!</v>
      </c>
      <c r="N54" s="391" t="e">
        <f t="shared" si="135"/>
        <v>#DIV/0!</v>
      </c>
      <c r="O54" s="391" t="e">
        <f t="shared" si="135"/>
        <v>#DIV/0!</v>
      </c>
      <c r="P54" s="391" t="e">
        <f t="shared" si="135"/>
        <v>#DIV/0!</v>
      </c>
      <c r="Q54" s="391" t="e">
        <f t="shared" si="135"/>
        <v>#DIV/0!</v>
      </c>
      <c r="R54" s="391" t="e">
        <f t="shared" si="135"/>
        <v>#DIV/0!</v>
      </c>
      <c r="S54" s="391" t="e">
        <f t="shared" si="135"/>
        <v>#DIV/0!</v>
      </c>
      <c r="T54" s="391" t="e">
        <f t="shared" si="135"/>
        <v>#DIV/0!</v>
      </c>
      <c r="U54" s="391" t="e">
        <f t="shared" si="135"/>
        <v>#DIV/0!</v>
      </c>
      <c r="V54" s="391" t="e">
        <f t="shared" si="135"/>
        <v>#DIV/0!</v>
      </c>
      <c r="W54" s="391" t="e">
        <f t="shared" si="135"/>
        <v>#DIV/0!</v>
      </c>
      <c r="X54" s="391" t="e">
        <f t="shared" si="135"/>
        <v>#DIV/0!</v>
      </c>
      <c r="Y54" s="391" t="e">
        <f t="shared" si="135"/>
        <v>#DIV/0!</v>
      </c>
      <c r="Z54" s="391" t="e">
        <f t="shared" si="135"/>
        <v>#DIV/0!</v>
      </c>
      <c r="AA54" s="391" t="e">
        <f t="shared" si="135"/>
        <v>#DIV/0!</v>
      </c>
      <c r="AB54" s="391" t="e">
        <f t="shared" si="135"/>
        <v>#DIV/0!</v>
      </c>
      <c r="AC54" s="391" t="e">
        <f t="shared" si="135"/>
        <v>#DIV/0!</v>
      </c>
      <c r="AD54" s="391" t="e">
        <f t="shared" si="135"/>
        <v>#DIV/0!</v>
      </c>
      <c r="AE54" s="391" t="e">
        <f t="shared" si="135"/>
        <v>#DIV/0!</v>
      </c>
      <c r="AF54" s="391" t="e">
        <f t="shared" si="135"/>
        <v>#DIV/0!</v>
      </c>
      <c r="AG54" s="391" t="e">
        <f t="shared" si="135"/>
        <v>#DIV/0!</v>
      </c>
      <c r="AH54" s="391" t="e">
        <f t="shared" ref="AH54:BE54" si="136">AH6/$I6</f>
        <v>#DIV/0!</v>
      </c>
      <c r="AI54" s="391" t="e">
        <f t="shared" si="136"/>
        <v>#DIV/0!</v>
      </c>
      <c r="AJ54" s="391" t="e">
        <f t="shared" si="136"/>
        <v>#DIV/0!</v>
      </c>
      <c r="AK54" s="391" t="e">
        <f t="shared" si="136"/>
        <v>#DIV/0!</v>
      </c>
      <c r="AL54" s="391" t="e">
        <f t="shared" si="136"/>
        <v>#DIV/0!</v>
      </c>
      <c r="AM54" s="391" t="e">
        <f t="shared" si="136"/>
        <v>#DIV/0!</v>
      </c>
      <c r="AN54" s="391" t="e">
        <f t="shared" si="136"/>
        <v>#DIV/0!</v>
      </c>
      <c r="AO54" s="391" t="e">
        <f t="shared" si="136"/>
        <v>#DIV/0!</v>
      </c>
      <c r="AP54" s="391" t="e">
        <f t="shared" si="136"/>
        <v>#DIV/0!</v>
      </c>
      <c r="AQ54" s="391" t="e">
        <f t="shared" si="136"/>
        <v>#DIV/0!</v>
      </c>
      <c r="AR54" s="391" t="e">
        <f t="shared" si="136"/>
        <v>#DIV/0!</v>
      </c>
      <c r="AS54" s="391" t="e">
        <f t="shared" si="136"/>
        <v>#DIV/0!</v>
      </c>
      <c r="AT54" s="391" t="e">
        <f t="shared" si="136"/>
        <v>#DIV/0!</v>
      </c>
      <c r="AU54" s="391" t="e">
        <f t="shared" si="136"/>
        <v>#DIV/0!</v>
      </c>
      <c r="AV54" s="391" t="e">
        <f t="shared" si="136"/>
        <v>#DIV/0!</v>
      </c>
      <c r="AW54" s="391" t="e">
        <f t="shared" si="136"/>
        <v>#DIV/0!</v>
      </c>
      <c r="AX54" s="391" t="e">
        <f t="shared" si="128"/>
        <v>#DIV/0!</v>
      </c>
      <c r="AY54" s="391" t="e">
        <f t="shared" si="128"/>
        <v>#DIV/0!</v>
      </c>
      <c r="AZ54" s="391" t="e">
        <f t="shared" si="136"/>
        <v>#DIV/0!</v>
      </c>
      <c r="BA54" s="391" t="e">
        <f t="shared" si="129"/>
        <v>#DIV/0!</v>
      </c>
      <c r="BB54" s="391" t="e">
        <f t="shared" si="136"/>
        <v>#DIV/0!</v>
      </c>
      <c r="BC54" s="391" t="e">
        <f t="shared" si="136"/>
        <v>#DIV/0!</v>
      </c>
      <c r="BD54" s="391" t="e">
        <f t="shared" si="136"/>
        <v>#DIV/0!</v>
      </c>
      <c r="BE54" s="391" t="e">
        <f t="shared" si="136"/>
        <v>#DIV/0!</v>
      </c>
    </row>
    <row r="55" spans="1:57" s="209" customFormat="1" x14ac:dyDescent="0.15">
      <c r="A55" s="390" t="str">
        <f t="shared" si="130"/>
        <v>Thread 4</v>
      </c>
      <c r="B55" s="391" t="e">
        <f t="shared" ref="B55:AG55" si="137">B7/$I7</f>
        <v>#DIV/0!</v>
      </c>
      <c r="C55" s="391" t="e">
        <f t="shared" si="137"/>
        <v>#DIV/0!</v>
      </c>
      <c r="D55" s="391" t="e">
        <f t="shared" si="137"/>
        <v>#DIV/0!</v>
      </c>
      <c r="E55" s="391" t="e">
        <f t="shared" si="137"/>
        <v>#DIV/0!</v>
      </c>
      <c r="F55" s="391" t="e">
        <f t="shared" si="137"/>
        <v>#DIV/0!</v>
      </c>
      <c r="G55" s="391" t="e">
        <f t="shared" si="137"/>
        <v>#DIV/0!</v>
      </c>
      <c r="H55" s="391" t="e">
        <f t="shared" si="137"/>
        <v>#DIV/0!</v>
      </c>
      <c r="I55" s="391" t="e">
        <f t="shared" si="137"/>
        <v>#DIV/0!</v>
      </c>
      <c r="J55" s="391" t="e">
        <f t="shared" si="137"/>
        <v>#DIV/0!</v>
      </c>
      <c r="K55" s="391" t="e">
        <f t="shared" si="137"/>
        <v>#DIV/0!</v>
      </c>
      <c r="L55" s="391" t="e">
        <f t="shared" si="137"/>
        <v>#DIV/0!</v>
      </c>
      <c r="M55" s="391" t="e">
        <f t="shared" si="137"/>
        <v>#DIV/0!</v>
      </c>
      <c r="N55" s="391" t="e">
        <f t="shared" si="137"/>
        <v>#DIV/0!</v>
      </c>
      <c r="O55" s="391" t="e">
        <f t="shared" si="137"/>
        <v>#DIV/0!</v>
      </c>
      <c r="P55" s="391" t="e">
        <f t="shared" si="137"/>
        <v>#DIV/0!</v>
      </c>
      <c r="Q55" s="391" t="e">
        <f t="shared" si="137"/>
        <v>#DIV/0!</v>
      </c>
      <c r="R55" s="391" t="e">
        <f t="shared" si="137"/>
        <v>#DIV/0!</v>
      </c>
      <c r="S55" s="391" t="e">
        <f t="shared" si="137"/>
        <v>#DIV/0!</v>
      </c>
      <c r="T55" s="391" t="e">
        <f t="shared" si="137"/>
        <v>#DIV/0!</v>
      </c>
      <c r="U55" s="391" t="e">
        <f t="shared" si="137"/>
        <v>#DIV/0!</v>
      </c>
      <c r="V55" s="391" t="e">
        <f t="shared" si="137"/>
        <v>#DIV/0!</v>
      </c>
      <c r="W55" s="391" t="e">
        <f t="shared" si="137"/>
        <v>#DIV/0!</v>
      </c>
      <c r="X55" s="391" t="e">
        <f t="shared" si="137"/>
        <v>#DIV/0!</v>
      </c>
      <c r="Y55" s="391" t="e">
        <f t="shared" si="137"/>
        <v>#DIV/0!</v>
      </c>
      <c r="Z55" s="391" t="e">
        <f t="shared" si="137"/>
        <v>#DIV/0!</v>
      </c>
      <c r="AA55" s="391" t="e">
        <f t="shared" si="137"/>
        <v>#DIV/0!</v>
      </c>
      <c r="AB55" s="391" t="e">
        <f t="shared" si="137"/>
        <v>#DIV/0!</v>
      </c>
      <c r="AC55" s="391" t="e">
        <f t="shared" si="137"/>
        <v>#DIV/0!</v>
      </c>
      <c r="AD55" s="391" t="e">
        <f t="shared" si="137"/>
        <v>#DIV/0!</v>
      </c>
      <c r="AE55" s="391" t="e">
        <f t="shared" si="137"/>
        <v>#DIV/0!</v>
      </c>
      <c r="AF55" s="391" t="e">
        <f t="shared" si="137"/>
        <v>#DIV/0!</v>
      </c>
      <c r="AG55" s="391" t="e">
        <f t="shared" si="137"/>
        <v>#DIV/0!</v>
      </c>
      <c r="AH55" s="391" t="e">
        <f t="shared" ref="AH55:BE55" si="138">AH7/$I7</f>
        <v>#DIV/0!</v>
      </c>
      <c r="AI55" s="391" t="e">
        <f t="shared" si="138"/>
        <v>#DIV/0!</v>
      </c>
      <c r="AJ55" s="391" t="e">
        <f t="shared" si="138"/>
        <v>#DIV/0!</v>
      </c>
      <c r="AK55" s="391" t="e">
        <f t="shared" si="138"/>
        <v>#DIV/0!</v>
      </c>
      <c r="AL55" s="391" t="e">
        <f t="shared" si="138"/>
        <v>#DIV/0!</v>
      </c>
      <c r="AM55" s="391" t="e">
        <f t="shared" si="138"/>
        <v>#DIV/0!</v>
      </c>
      <c r="AN55" s="391" t="e">
        <f t="shared" si="138"/>
        <v>#DIV/0!</v>
      </c>
      <c r="AO55" s="391" t="e">
        <f t="shared" si="138"/>
        <v>#DIV/0!</v>
      </c>
      <c r="AP55" s="391" t="e">
        <f t="shared" si="138"/>
        <v>#DIV/0!</v>
      </c>
      <c r="AQ55" s="391" t="e">
        <f t="shared" si="138"/>
        <v>#DIV/0!</v>
      </c>
      <c r="AR55" s="391" t="e">
        <f t="shared" si="138"/>
        <v>#DIV/0!</v>
      </c>
      <c r="AS55" s="391" t="e">
        <f t="shared" si="138"/>
        <v>#DIV/0!</v>
      </c>
      <c r="AT55" s="391" t="e">
        <f t="shared" si="138"/>
        <v>#DIV/0!</v>
      </c>
      <c r="AU55" s="391" t="e">
        <f t="shared" si="138"/>
        <v>#DIV/0!</v>
      </c>
      <c r="AV55" s="391" t="e">
        <f t="shared" si="138"/>
        <v>#DIV/0!</v>
      </c>
      <c r="AW55" s="391" t="e">
        <f t="shared" si="138"/>
        <v>#DIV/0!</v>
      </c>
      <c r="AX55" s="391" t="e">
        <f t="shared" si="128"/>
        <v>#DIV/0!</v>
      </c>
      <c r="AY55" s="391" t="e">
        <f t="shared" si="128"/>
        <v>#DIV/0!</v>
      </c>
      <c r="AZ55" s="391" t="e">
        <f t="shared" si="138"/>
        <v>#DIV/0!</v>
      </c>
      <c r="BA55" s="391" t="e">
        <f t="shared" si="129"/>
        <v>#DIV/0!</v>
      </c>
      <c r="BB55" s="391" t="e">
        <f t="shared" si="138"/>
        <v>#DIV/0!</v>
      </c>
      <c r="BC55" s="391" t="e">
        <f t="shared" si="138"/>
        <v>#DIV/0!</v>
      </c>
      <c r="BD55" s="391" t="e">
        <f t="shared" si="138"/>
        <v>#DIV/0!</v>
      </c>
      <c r="BE55" s="391" t="e">
        <f t="shared" si="138"/>
        <v>#DIV/0!</v>
      </c>
    </row>
    <row r="56" spans="1:57" s="209" customFormat="1" x14ac:dyDescent="0.15">
      <c r="A56" s="390" t="str">
        <f t="shared" si="130"/>
        <v>Thread 5</v>
      </c>
      <c r="B56" s="391" t="e">
        <f t="shared" ref="B56:AG56" si="139">B8/$I8</f>
        <v>#DIV/0!</v>
      </c>
      <c r="C56" s="391" t="e">
        <f t="shared" si="139"/>
        <v>#DIV/0!</v>
      </c>
      <c r="D56" s="391" t="e">
        <f t="shared" si="139"/>
        <v>#DIV/0!</v>
      </c>
      <c r="E56" s="391" t="e">
        <f t="shared" si="139"/>
        <v>#DIV/0!</v>
      </c>
      <c r="F56" s="391" t="e">
        <f t="shared" si="139"/>
        <v>#DIV/0!</v>
      </c>
      <c r="G56" s="391" t="e">
        <f t="shared" si="139"/>
        <v>#DIV/0!</v>
      </c>
      <c r="H56" s="391" t="e">
        <f t="shared" si="139"/>
        <v>#DIV/0!</v>
      </c>
      <c r="I56" s="391" t="e">
        <f t="shared" si="139"/>
        <v>#DIV/0!</v>
      </c>
      <c r="J56" s="391" t="e">
        <f t="shared" si="139"/>
        <v>#DIV/0!</v>
      </c>
      <c r="K56" s="391" t="e">
        <f t="shared" si="139"/>
        <v>#DIV/0!</v>
      </c>
      <c r="L56" s="391" t="e">
        <f t="shared" si="139"/>
        <v>#DIV/0!</v>
      </c>
      <c r="M56" s="391" t="e">
        <f t="shared" si="139"/>
        <v>#DIV/0!</v>
      </c>
      <c r="N56" s="391" t="e">
        <f t="shared" si="139"/>
        <v>#DIV/0!</v>
      </c>
      <c r="O56" s="391" t="e">
        <f t="shared" si="139"/>
        <v>#DIV/0!</v>
      </c>
      <c r="P56" s="391" t="e">
        <f t="shared" si="139"/>
        <v>#DIV/0!</v>
      </c>
      <c r="Q56" s="391" t="e">
        <f t="shared" si="139"/>
        <v>#DIV/0!</v>
      </c>
      <c r="R56" s="391" t="e">
        <f t="shared" si="139"/>
        <v>#DIV/0!</v>
      </c>
      <c r="S56" s="391" t="e">
        <f t="shared" si="139"/>
        <v>#DIV/0!</v>
      </c>
      <c r="T56" s="391" t="e">
        <f t="shared" si="139"/>
        <v>#DIV/0!</v>
      </c>
      <c r="U56" s="391" t="e">
        <f t="shared" si="139"/>
        <v>#DIV/0!</v>
      </c>
      <c r="V56" s="391" t="e">
        <f t="shared" si="139"/>
        <v>#DIV/0!</v>
      </c>
      <c r="W56" s="391" t="e">
        <f t="shared" si="139"/>
        <v>#DIV/0!</v>
      </c>
      <c r="X56" s="391" t="e">
        <f t="shared" si="139"/>
        <v>#DIV/0!</v>
      </c>
      <c r="Y56" s="391" t="e">
        <f t="shared" si="139"/>
        <v>#DIV/0!</v>
      </c>
      <c r="Z56" s="391" t="e">
        <f t="shared" si="139"/>
        <v>#DIV/0!</v>
      </c>
      <c r="AA56" s="391" t="e">
        <f t="shared" si="139"/>
        <v>#DIV/0!</v>
      </c>
      <c r="AB56" s="391" t="e">
        <f t="shared" si="139"/>
        <v>#DIV/0!</v>
      </c>
      <c r="AC56" s="391" t="e">
        <f t="shared" si="139"/>
        <v>#DIV/0!</v>
      </c>
      <c r="AD56" s="391" t="e">
        <f t="shared" si="139"/>
        <v>#DIV/0!</v>
      </c>
      <c r="AE56" s="391" t="e">
        <f t="shared" si="139"/>
        <v>#DIV/0!</v>
      </c>
      <c r="AF56" s="391" t="e">
        <f t="shared" si="139"/>
        <v>#DIV/0!</v>
      </c>
      <c r="AG56" s="391" t="e">
        <f t="shared" si="139"/>
        <v>#DIV/0!</v>
      </c>
      <c r="AH56" s="391" t="e">
        <f t="shared" ref="AH56:BE56" si="140">AH8/$I8</f>
        <v>#DIV/0!</v>
      </c>
      <c r="AI56" s="391" t="e">
        <f t="shared" si="140"/>
        <v>#DIV/0!</v>
      </c>
      <c r="AJ56" s="391" t="e">
        <f t="shared" si="140"/>
        <v>#DIV/0!</v>
      </c>
      <c r="AK56" s="391" t="e">
        <f t="shared" si="140"/>
        <v>#DIV/0!</v>
      </c>
      <c r="AL56" s="391" t="e">
        <f t="shared" si="140"/>
        <v>#DIV/0!</v>
      </c>
      <c r="AM56" s="391" t="e">
        <f t="shared" si="140"/>
        <v>#DIV/0!</v>
      </c>
      <c r="AN56" s="391" t="e">
        <f t="shared" si="140"/>
        <v>#DIV/0!</v>
      </c>
      <c r="AO56" s="391" t="e">
        <f t="shared" si="140"/>
        <v>#DIV/0!</v>
      </c>
      <c r="AP56" s="391" t="e">
        <f t="shared" si="140"/>
        <v>#DIV/0!</v>
      </c>
      <c r="AQ56" s="391" t="e">
        <f t="shared" si="140"/>
        <v>#DIV/0!</v>
      </c>
      <c r="AR56" s="391" t="e">
        <f t="shared" si="140"/>
        <v>#DIV/0!</v>
      </c>
      <c r="AS56" s="391" t="e">
        <f t="shared" si="140"/>
        <v>#DIV/0!</v>
      </c>
      <c r="AT56" s="391" t="e">
        <f t="shared" si="140"/>
        <v>#DIV/0!</v>
      </c>
      <c r="AU56" s="391" t="e">
        <f t="shared" si="140"/>
        <v>#DIV/0!</v>
      </c>
      <c r="AV56" s="391" t="e">
        <f t="shared" si="140"/>
        <v>#DIV/0!</v>
      </c>
      <c r="AW56" s="391" t="e">
        <f t="shared" si="140"/>
        <v>#DIV/0!</v>
      </c>
      <c r="AX56" s="391" t="e">
        <f t="shared" si="128"/>
        <v>#DIV/0!</v>
      </c>
      <c r="AY56" s="391" t="e">
        <f t="shared" si="128"/>
        <v>#DIV/0!</v>
      </c>
      <c r="AZ56" s="391" t="e">
        <f t="shared" si="140"/>
        <v>#DIV/0!</v>
      </c>
      <c r="BA56" s="391" t="e">
        <f t="shared" si="129"/>
        <v>#DIV/0!</v>
      </c>
      <c r="BB56" s="391" t="e">
        <f t="shared" si="140"/>
        <v>#DIV/0!</v>
      </c>
      <c r="BC56" s="391" t="e">
        <f t="shared" si="140"/>
        <v>#DIV/0!</v>
      </c>
      <c r="BD56" s="391" t="e">
        <f t="shared" si="140"/>
        <v>#DIV/0!</v>
      </c>
      <c r="BE56" s="391" t="e">
        <f t="shared" si="140"/>
        <v>#DIV/0!</v>
      </c>
    </row>
    <row r="57" spans="1:57" s="209" customFormat="1" x14ac:dyDescent="0.15">
      <c r="A57" s="390" t="str">
        <f t="shared" si="130"/>
        <v>Thread 6</v>
      </c>
      <c r="B57" s="391" t="e">
        <f t="shared" ref="B57:AG57" si="141">B9/$I9</f>
        <v>#DIV/0!</v>
      </c>
      <c r="C57" s="391" t="e">
        <f t="shared" si="141"/>
        <v>#DIV/0!</v>
      </c>
      <c r="D57" s="391" t="e">
        <f t="shared" si="141"/>
        <v>#DIV/0!</v>
      </c>
      <c r="E57" s="391" t="e">
        <f t="shared" si="141"/>
        <v>#DIV/0!</v>
      </c>
      <c r="F57" s="391" t="e">
        <f t="shared" si="141"/>
        <v>#DIV/0!</v>
      </c>
      <c r="G57" s="391" t="e">
        <f t="shared" si="141"/>
        <v>#DIV/0!</v>
      </c>
      <c r="H57" s="391" t="e">
        <f t="shared" si="141"/>
        <v>#DIV/0!</v>
      </c>
      <c r="I57" s="391" t="e">
        <f t="shared" si="141"/>
        <v>#DIV/0!</v>
      </c>
      <c r="J57" s="391" t="e">
        <f t="shared" si="141"/>
        <v>#DIV/0!</v>
      </c>
      <c r="K57" s="391" t="e">
        <f t="shared" si="141"/>
        <v>#DIV/0!</v>
      </c>
      <c r="L57" s="391" t="e">
        <f t="shared" si="141"/>
        <v>#DIV/0!</v>
      </c>
      <c r="M57" s="391" t="e">
        <f t="shared" si="141"/>
        <v>#DIV/0!</v>
      </c>
      <c r="N57" s="391" t="e">
        <f t="shared" si="141"/>
        <v>#DIV/0!</v>
      </c>
      <c r="O57" s="391" t="e">
        <f t="shared" si="141"/>
        <v>#DIV/0!</v>
      </c>
      <c r="P57" s="391" t="e">
        <f t="shared" si="141"/>
        <v>#DIV/0!</v>
      </c>
      <c r="Q57" s="391" t="e">
        <f t="shared" si="141"/>
        <v>#DIV/0!</v>
      </c>
      <c r="R57" s="391" t="e">
        <f t="shared" si="141"/>
        <v>#DIV/0!</v>
      </c>
      <c r="S57" s="391" t="e">
        <f t="shared" si="141"/>
        <v>#DIV/0!</v>
      </c>
      <c r="T57" s="391" t="e">
        <f t="shared" si="141"/>
        <v>#DIV/0!</v>
      </c>
      <c r="U57" s="391" t="e">
        <f t="shared" si="141"/>
        <v>#DIV/0!</v>
      </c>
      <c r="V57" s="391" t="e">
        <f t="shared" si="141"/>
        <v>#DIV/0!</v>
      </c>
      <c r="W57" s="391" t="e">
        <f t="shared" si="141"/>
        <v>#DIV/0!</v>
      </c>
      <c r="X57" s="391" t="e">
        <f t="shared" si="141"/>
        <v>#DIV/0!</v>
      </c>
      <c r="Y57" s="391" t="e">
        <f t="shared" si="141"/>
        <v>#DIV/0!</v>
      </c>
      <c r="Z57" s="391" t="e">
        <f t="shared" si="141"/>
        <v>#DIV/0!</v>
      </c>
      <c r="AA57" s="391" t="e">
        <f t="shared" si="141"/>
        <v>#DIV/0!</v>
      </c>
      <c r="AB57" s="391" t="e">
        <f t="shared" si="141"/>
        <v>#DIV/0!</v>
      </c>
      <c r="AC57" s="391" t="e">
        <f t="shared" si="141"/>
        <v>#DIV/0!</v>
      </c>
      <c r="AD57" s="391" t="e">
        <f t="shared" si="141"/>
        <v>#DIV/0!</v>
      </c>
      <c r="AE57" s="391" t="e">
        <f t="shared" si="141"/>
        <v>#DIV/0!</v>
      </c>
      <c r="AF57" s="391" t="e">
        <f t="shared" si="141"/>
        <v>#DIV/0!</v>
      </c>
      <c r="AG57" s="391" t="e">
        <f t="shared" si="141"/>
        <v>#DIV/0!</v>
      </c>
      <c r="AH57" s="391" t="e">
        <f t="shared" ref="AH57:BE57" si="142">AH9/$I9</f>
        <v>#DIV/0!</v>
      </c>
      <c r="AI57" s="391" t="e">
        <f t="shared" si="142"/>
        <v>#DIV/0!</v>
      </c>
      <c r="AJ57" s="391" t="e">
        <f t="shared" si="142"/>
        <v>#DIV/0!</v>
      </c>
      <c r="AK57" s="391" t="e">
        <f t="shared" si="142"/>
        <v>#DIV/0!</v>
      </c>
      <c r="AL57" s="391" t="e">
        <f t="shared" si="142"/>
        <v>#DIV/0!</v>
      </c>
      <c r="AM57" s="391" t="e">
        <f t="shared" si="142"/>
        <v>#DIV/0!</v>
      </c>
      <c r="AN57" s="391" t="e">
        <f t="shared" si="142"/>
        <v>#DIV/0!</v>
      </c>
      <c r="AO57" s="391" t="e">
        <f t="shared" si="142"/>
        <v>#DIV/0!</v>
      </c>
      <c r="AP57" s="391" t="e">
        <f t="shared" si="142"/>
        <v>#DIV/0!</v>
      </c>
      <c r="AQ57" s="391" t="e">
        <f t="shared" si="142"/>
        <v>#DIV/0!</v>
      </c>
      <c r="AR57" s="391" t="e">
        <f t="shared" si="142"/>
        <v>#DIV/0!</v>
      </c>
      <c r="AS57" s="391" t="e">
        <f t="shared" si="142"/>
        <v>#DIV/0!</v>
      </c>
      <c r="AT57" s="391" t="e">
        <f t="shared" si="142"/>
        <v>#DIV/0!</v>
      </c>
      <c r="AU57" s="391" t="e">
        <f t="shared" si="142"/>
        <v>#DIV/0!</v>
      </c>
      <c r="AV57" s="391" t="e">
        <f t="shared" si="142"/>
        <v>#DIV/0!</v>
      </c>
      <c r="AW57" s="391" t="e">
        <f t="shared" si="142"/>
        <v>#DIV/0!</v>
      </c>
      <c r="AX57" s="391" t="e">
        <f t="shared" si="128"/>
        <v>#DIV/0!</v>
      </c>
      <c r="AY57" s="391" t="e">
        <f t="shared" si="128"/>
        <v>#DIV/0!</v>
      </c>
      <c r="AZ57" s="391" t="e">
        <f t="shared" si="142"/>
        <v>#DIV/0!</v>
      </c>
      <c r="BA57" s="391" t="e">
        <f t="shared" si="129"/>
        <v>#DIV/0!</v>
      </c>
      <c r="BB57" s="391" t="e">
        <f t="shared" si="142"/>
        <v>#DIV/0!</v>
      </c>
      <c r="BC57" s="391" t="e">
        <f t="shared" si="142"/>
        <v>#DIV/0!</v>
      </c>
      <c r="BD57" s="391" t="e">
        <f t="shared" si="142"/>
        <v>#DIV/0!</v>
      </c>
      <c r="BE57" s="391" t="e">
        <f t="shared" si="142"/>
        <v>#DIV/0!</v>
      </c>
    </row>
    <row r="58" spans="1:57" s="209" customFormat="1" x14ac:dyDescent="0.15">
      <c r="A58" s="390" t="str">
        <f t="shared" si="130"/>
        <v>Thread 7</v>
      </c>
      <c r="B58" s="391" t="e">
        <f t="shared" ref="B58:AG58" si="143">B10/$I10</f>
        <v>#DIV/0!</v>
      </c>
      <c r="C58" s="391" t="e">
        <f t="shared" si="143"/>
        <v>#DIV/0!</v>
      </c>
      <c r="D58" s="391" t="e">
        <f t="shared" si="143"/>
        <v>#DIV/0!</v>
      </c>
      <c r="E58" s="391" t="e">
        <f t="shared" si="143"/>
        <v>#DIV/0!</v>
      </c>
      <c r="F58" s="391" t="e">
        <f t="shared" si="143"/>
        <v>#DIV/0!</v>
      </c>
      <c r="G58" s="391" t="e">
        <f t="shared" si="143"/>
        <v>#DIV/0!</v>
      </c>
      <c r="H58" s="391" t="e">
        <f t="shared" si="143"/>
        <v>#DIV/0!</v>
      </c>
      <c r="I58" s="391" t="e">
        <f t="shared" si="143"/>
        <v>#DIV/0!</v>
      </c>
      <c r="J58" s="391" t="e">
        <f t="shared" si="143"/>
        <v>#DIV/0!</v>
      </c>
      <c r="K58" s="391" t="e">
        <f t="shared" si="143"/>
        <v>#DIV/0!</v>
      </c>
      <c r="L58" s="391" t="e">
        <f t="shared" si="143"/>
        <v>#DIV/0!</v>
      </c>
      <c r="M58" s="391" t="e">
        <f t="shared" si="143"/>
        <v>#DIV/0!</v>
      </c>
      <c r="N58" s="391" t="e">
        <f t="shared" si="143"/>
        <v>#DIV/0!</v>
      </c>
      <c r="O58" s="391" t="e">
        <f t="shared" si="143"/>
        <v>#DIV/0!</v>
      </c>
      <c r="P58" s="391" t="e">
        <f t="shared" si="143"/>
        <v>#DIV/0!</v>
      </c>
      <c r="Q58" s="391" t="e">
        <f t="shared" si="143"/>
        <v>#DIV/0!</v>
      </c>
      <c r="R58" s="391" t="e">
        <f t="shared" si="143"/>
        <v>#DIV/0!</v>
      </c>
      <c r="S58" s="391" t="e">
        <f t="shared" si="143"/>
        <v>#DIV/0!</v>
      </c>
      <c r="T58" s="391" t="e">
        <f t="shared" si="143"/>
        <v>#DIV/0!</v>
      </c>
      <c r="U58" s="391" t="e">
        <f t="shared" si="143"/>
        <v>#DIV/0!</v>
      </c>
      <c r="V58" s="391" t="e">
        <f t="shared" si="143"/>
        <v>#DIV/0!</v>
      </c>
      <c r="W58" s="391" t="e">
        <f t="shared" si="143"/>
        <v>#DIV/0!</v>
      </c>
      <c r="X58" s="391" t="e">
        <f t="shared" si="143"/>
        <v>#DIV/0!</v>
      </c>
      <c r="Y58" s="391" t="e">
        <f t="shared" si="143"/>
        <v>#DIV/0!</v>
      </c>
      <c r="Z58" s="391" t="e">
        <f t="shared" si="143"/>
        <v>#DIV/0!</v>
      </c>
      <c r="AA58" s="391" t="e">
        <f t="shared" si="143"/>
        <v>#DIV/0!</v>
      </c>
      <c r="AB58" s="391" t="e">
        <f t="shared" si="143"/>
        <v>#DIV/0!</v>
      </c>
      <c r="AC58" s="391" t="e">
        <f t="shared" si="143"/>
        <v>#DIV/0!</v>
      </c>
      <c r="AD58" s="391" t="e">
        <f t="shared" si="143"/>
        <v>#DIV/0!</v>
      </c>
      <c r="AE58" s="391" t="e">
        <f t="shared" si="143"/>
        <v>#DIV/0!</v>
      </c>
      <c r="AF58" s="391" t="e">
        <f t="shared" si="143"/>
        <v>#DIV/0!</v>
      </c>
      <c r="AG58" s="391" t="e">
        <f t="shared" si="143"/>
        <v>#DIV/0!</v>
      </c>
      <c r="AH58" s="391" t="e">
        <f t="shared" ref="AH58:BE58" si="144">AH10/$I10</f>
        <v>#DIV/0!</v>
      </c>
      <c r="AI58" s="391" t="e">
        <f t="shared" si="144"/>
        <v>#DIV/0!</v>
      </c>
      <c r="AJ58" s="391" t="e">
        <f t="shared" si="144"/>
        <v>#DIV/0!</v>
      </c>
      <c r="AK58" s="391" t="e">
        <f t="shared" si="144"/>
        <v>#DIV/0!</v>
      </c>
      <c r="AL58" s="391" t="e">
        <f t="shared" si="144"/>
        <v>#DIV/0!</v>
      </c>
      <c r="AM58" s="391" t="e">
        <f t="shared" si="144"/>
        <v>#DIV/0!</v>
      </c>
      <c r="AN58" s="391" t="e">
        <f t="shared" si="144"/>
        <v>#DIV/0!</v>
      </c>
      <c r="AO58" s="391" t="e">
        <f t="shared" si="144"/>
        <v>#DIV/0!</v>
      </c>
      <c r="AP58" s="391" t="e">
        <f t="shared" si="144"/>
        <v>#DIV/0!</v>
      </c>
      <c r="AQ58" s="391" t="e">
        <f t="shared" si="144"/>
        <v>#DIV/0!</v>
      </c>
      <c r="AR58" s="391" t="e">
        <f t="shared" si="144"/>
        <v>#DIV/0!</v>
      </c>
      <c r="AS58" s="391" t="e">
        <f t="shared" si="144"/>
        <v>#DIV/0!</v>
      </c>
      <c r="AT58" s="391" t="e">
        <f t="shared" si="144"/>
        <v>#DIV/0!</v>
      </c>
      <c r="AU58" s="391" t="e">
        <f t="shared" si="144"/>
        <v>#DIV/0!</v>
      </c>
      <c r="AV58" s="391" t="e">
        <f t="shared" si="144"/>
        <v>#DIV/0!</v>
      </c>
      <c r="AW58" s="391" t="e">
        <f t="shared" si="144"/>
        <v>#DIV/0!</v>
      </c>
      <c r="AX58" s="391" t="e">
        <f t="shared" si="128"/>
        <v>#DIV/0!</v>
      </c>
      <c r="AY58" s="391" t="e">
        <f t="shared" si="128"/>
        <v>#DIV/0!</v>
      </c>
      <c r="AZ58" s="391" t="e">
        <f t="shared" si="144"/>
        <v>#DIV/0!</v>
      </c>
      <c r="BA58" s="391" t="e">
        <f t="shared" si="129"/>
        <v>#DIV/0!</v>
      </c>
      <c r="BB58" s="391" t="e">
        <f t="shared" si="144"/>
        <v>#DIV/0!</v>
      </c>
      <c r="BC58" s="391" t="e">
        <f t="shared" si="144"/>
        <v>#DIV/0!</v>
      </c>
      <c r="BD58" s="391" t="e">
        <f t="shared" si="144"/>
        <v>#DIV/0!</v>
      </c>
      <c r="BE58" s="391" t="e">
        <f t="shared" si="144"/>
        <v>#DIV/0!</v>
      </c>
    </row>
    <row r="59" spans="1:57" s="209" customFormat="1" x14ac:dyDescent="0.15">
      <c r="A59" s="390" t="str">
        <f t="shared" si="130"/>
        <v>Thread 8</v>
      </c>
      <c r="B59" s="391" t="e">
        <f t="shared" ref="B59:AG59" si="145">B11/$I11</f>
        <v>#DIV/0!</v>
      </c>
      <c r="C59" s="391" t="e">
        <f t="shared" si="145"/>
        <v>#DIV/0!</v>
      </c>
      <c r="D59" s="391" t="e">
        <f t="shared" si="145"/>
        <v>#DIV/0!</v>
      </c>
      <c r="E59" s="391" t="e">
        <f t="shared" si="145"/>
        <v>#DIV/0!</v>
      </c>
      <c r="F59" s="391" t="e">
        <f t="shared" si="145"/>
        <v>#DIV/0!</v>
      </c>
      <c r="G59" s="391" t="e">
        <f t="shared" si="145"/>
        <v>#DIV/0!</v>
      </c>
      <c r="H59" s="391" t="e">
        <f t="shared" si="145"/>
        <v>#DIV/0!</v>
      </c>
      <c r="I59" s="391" t="e">
        <f t="shared" si="145"/>
        <v>#DIV/0!</v>
      </c>
      <c r="J59" s="391" t="e">
        <f t="shared" si="145"/>
        <v>#DIV/0!</v>
      </c>
      <c r="K59" s="391" t="e">
        <f t="shared" si="145"/>
        <v>#DIV/0!</v>
      </c>
      <c r="L59" s="391" t="e">
        <f t="shared" si="145"/>
        <v>#DIV/0!</v>
      </c>
      <c r="M59" s="391" t="e">
        <f t="shared" si="145"/>
        <v>#DIV/0!</v>
      </c>
      <c r="N59" s="391" t="e">
        <f t="shared" si="145"/>
        <v>#DIV/0!</v>
      </c>
      <c r="O59" s="391" t="e">
        <f t="shared" si="145"/>
        <v>#DIV/0!</v>
      </c>
      <c r="P59" s="391" t="e">
        <f t="shared" si="145"/>
        <v>#DIV/0!</v>
      </c>
      <c r="Q59" s="391" t="e">
        <f t="shared" si="145"/>
        <v>#DIV/0!</v>
      </c>
      <c r="R59" s="391" t="e">
        <f t="shared" si="145"/>
        <v>#DIV/0!</v>
      </c>
      <c r="S59" s="391" t="e">
        <f t="shared" si="145"/>
        <v>#DIV/0!</v>
      </c>
      <c r="T59" s="391" t="e">
        <f t="shared" si="145"/>
        <v>#DIV/0!</v>
      </c>
      <c r="U59" s="391" t="e">
        <f t="shared" si="145"/>
        <v>#DIV/0!</v>
      </c>
      <c r="V59" s="391" t="e">
        <f t="shared" si="145"/>
        <v>#DIV/0!</v>
      </c>
      <c r="W59" s="391" t="e">
        <f t="shared" si="145"/>
        <v>#DIV/0!</v>
      </c>
      <c r="X59" s="391" t="e">
        <f t="shared" si="145"/>
        <v>#DIV/0!</v>
      </c>
      <c r="Y59" s="391" t="e">
        <f t="shared" si="145"/>
        <v>#DIV/0!</v>
      </c>
      <c r="Z59" s="391" t="e">
        <f t="shared" si="145"/>
        <v>#DIV/0!</v>
      </c>
      <c r="AA59" s="391" t="e">
        <f t="shared" si="145"/>
        <v>#DIV/0!</v>
      </c>
      <c r="AB59" s="391" t="e">
        <f t="shared" si="145"/>
        <v>#DIV/0!</v>
      </c>
      <c r="AC59" s="391" t="e">
        <f t="shared" si="145"/>
        <v>#DIV/0!</v>
      </c>
      <c r="AD59" s="391" t="e">
        <f t="shared" si="145"/>
        <v>#DIV/0!</v>
      </c>
      <c r="AE59" s="391" t="e">
        <f t="shared" si="145"/>
        <v>#DIV/0!</v>
      </c>
      <c r="AF59" s="391" t="e">
        <f t="shared" si="145"/>
        <v>#DIV/0!</v>
      </c>
      <c r="AG59" s="391" t="e">
        <f t="shared" si="145"/>
        <v>#DIV/0!</v>
      </c>
      <c r="AH59" s="391" t="e">
        <f t="shared" ref="AH59:BE59" si="146">AH11/$I11</f>
        <v>#DIV/0!</v>
      </c>
      <c r="AI59" s="391" t="e">
        <f t="shared" si="146"/>
        <v>#DIV/0!</v>
      </c>
      <c r="AJ59" s="391" t="e">
        <f t="shared" si="146"/>
        <v>#DIV/0!</v>
      </c>
      <c r="AK59" s="391" t="e">
        <f t="shared" si="146"/>
        <v>#DIV/0!</v>
      </c>
      <c r="AL59" s="391" t="e">
        <f t="shared" si="146"/>
        <v>#DIV/0!</v>
      </c>
      <c r="AM59" s="391" t="e">
        <f t="shared" si="146"/>
        <v>#DIV/0!</v>
      </c>
      <c r="AN59" s="391" t="e">
        <f t="shared" si="146"/>
        <v>#DIV/0!</v>
      </c>
      <c r="AO59" s="391" t="e">
        <f t="shared" si="146"/>
        <v>#DIV/0!</v>
      </c>
      <c r="AP59" s="391" t="e">
        <f t="shared" si="146"/>
        <v>#DIV/0!</v>
      </c>
      <c r="AQ59" s="391" t="e">
        <f t="shared" si="146"/>
        <v>#DIV/0!</v>
      </c>
      <c r="AR59" s="391" t="e">
        <f t="shared" si="146"/>
        <v>#DIV/0!</v>
      </c>
      <c r="AS59" s="391" t="e">
        <f t="shared" si="146"/>
        <v>#DIV/0!</v>
      </c>
      <c r="AT59" s="391" t="e">
        <f t="shared" si="146"/>
        <v>#DIV/0!</v>
      </c>
      <c r="AU59" s="391" t="e">
        <f t="shared" si="146"/>
        <v>#DIV/0!</v>
      </c>
      <c r="AV59" s="391" t="e">
        <f t="shared" si="146"/>
        <v>#DIV/0!</v>
      </c>
      <c r="AW59" s="391" t="e">
        <f t="shared" si="146"/>
        <v>#DIV/0!</v>
      </c>
      <c r="AX59" s="391" t="e">
        <f t="shared" si="128"/>
        <v>#DIV/0!</v>
      </c>
      <c r="AY59" s="391" t="e">
        <f t="shared" si="128"/>
        <v>#DIV/0!</v>
      </c>
      <c r="AZ59" s="391" t="e">
        <f t="shared" si="146"/>
        <v>#DIV/0!</v>
      </c>
      <c r="BA59" s="391" t="e">
        <f t="shared" si="129"/>
        <v>#DIV/0!</v>
      </c>
      <c r="BB59" s="391" t="e">
        <f t="shared" si="146"/>
        <v>#DIV/0!</v>
      </c>
      <c r="BC59" s="391" t="e">
        <f t="shared" si="146"/>
        <v>#DIV/0!</v>
      </c>
      <c r="BD59" s="391" t="e">
        <f t="shared" si="146"/>
        <v>#DIV/0!</v>
      </c>
      <c r="BE59" s="391" t="e">
        <f t="shared" si="146"/>
        <v>#DIV/0!</v>
      </c>
    </row>
    <row r="60" spans="1:57" s="209" customFormat="1" x14ac:dyDescent="0.15">
      <c r="A60" s="390" t="str">
        <f>A12</f>
        <v>Thread 9</v>
      </c>
      <c r="B60" s="391" t="e">
        <f t="shared" ref="B60:AG60" si="147">B12/$I12</f>
        <v>#DIV/0!</v>
      </c>
      <c r="C60" s="391" t="e">
        <f t="shared" si="147"/>
        <v>#DIV/0!</v>
      </c>
      <c r="D60" s="391" t="e">
        <f t="shared" si="147"/>
        <v>#DIV/0!</v>
      </c>
      <c r="E60" s="391" t="e">
        <f t="shared" si="147"/>
        <v>#DIV/0!</v>
      </c>
      <c r="F60" s="391" t="e">
        <f t="shared" si="147"/>
        <v>#DIV/0!</v>
      </c>
      <c r="G60" s="391" t="e">
        <f t="shared" si="147"/>
        <v>#DIV/0!</v>
      </c>
      <c r="H60" s="391" t="e">
        <f t="shared" si="147"/>
        <v>#DIV/0!</v>
      </c>
      <c r="I60" s="391" t="e">
        <f t="shared" si="147"/>
        <v>#DIV/0!</v>
      </c>
      <c r="J60" s="391" t="e">
        <f t="shared" si="147"/>
        <v>#DIV/0!</v>
      </c>
      <c r="K60" s="391" t="e">
        <f t="shared" si="147"/>
        <v>#DIV/0!</v>
      </c>
      <c r="L60" s="391" t="e">
        <f t="shared" si="147"/>
        <v>#DIV/0!</v>
      </c>
      <c r="M60" s="391" t="e">
        <f t="shared" si="147"/>
        <v>#DIV/0!</v>
      </c>
      <c r="N60" s="391" t="e">
        <f t="shared" si="147"/>
        <v>#DIV/0!</v>
      </c>
      <c r="O60" s="391" t="e">
        <f t="shared" si="147"/>
        <v>#DIV/0!</v>
      </c>
      <c r="P60" s="391" t="e">
        <f t="shared" si="147"/>
        <v>#DIV/0!</v>
      </c>
      <c r="Q60" s="391" t="e">
        <f t="shared" si="147"/>
        <v>#DIV/0!</v>
      </c>
      <c r="R60" s="391" t="e">
        <f t="shared" si="147"/>
        <v>#DIV/0!</v>
      </c>
      <c r="S60" s="391" t="e">
        <f t="shared" si="147"/>
        <v>#DIV/0!</v>
      </c>
      <c r="T60" s="391" t="e">
        <f t="shared" si="147"/>
        <v>#DIV/0!</v>
      </c>
      <c r="U60" s="391" t="e">
        <f t="shared" si="147"/>
        <v>#DIV/0!</v>
      </c>
      <c r="V60" s="391" t="e">
        <f t="shared" si="147"/>
        <v>#DIV/0!</v>
      </c>
      <c r="W60" s="391" t="e">
        <f t="shared" si="147"/>
        <v>#DIV/0!</v>
      </c>
      <c r="X60" s="391" t="e">
        <f t="shared" si="147"/>
        <v>#DIV/0!</v>
      </c>
      <c r="Y60" s="391" t="e">
        <f t="shared" si="147"/>
        <v>#DIV/0!</v>
      </c>
      <c r="Z60" s="391" t="e">
        <f t="shared" si="147"/>
        <v>#DIV/0!</v>
      </c>
      <c r="AA60" s="391" t="e">
        <f t="shared" si="147"/>
        <v>#DIV/0!</v>
      </c>
      <c r="AB60" s="391" t="e">
        <f t="shared" si="147"/>
        <v>#DIV/0!</v>
      </c>
      <c r="AC60" s="391" t="e">
        <f t="shared" si="147"/>
        <v>#DIV/0!</v>
      </c>
      <c r="AD60" s="391" t="e">
        <f t="shared" si="147"/>
        <v>#DIV/0!</v>
      </c>
      <c r="AE60" s="391" t="e">
        <f t="shared" si="147"/>
        <v>#DIV/0!</v>
      </c>
      <c r="AF60" s="391" t="e">
        <f t="shared" si="147"/>
        <v>#DIV/0!</v>
      </c>
      <c r="AG60" s="391" t="e">
        <f t="shared" si="147"/>
        <v>#DIV/0!</v>
      </c>
      <c r="AH60" s="391" t="e">
        <f t="shared" ref="AH60:BE60" si="148">AH12/$I12</f>
        <v>#DIV/0!</v>
      </c>
      <c r="AI60" s="391" t="e">
        <f t="shared" si="148"/>
        <v>#DIV/0!</v>
      </c>
      <c r="AJ60" s="391" t="e">
        <f t="shared" si="148"/>
        <v>#DIV/0!</v>
      </c>
      <c r="AK60" s="391" t="e">
        <f t="shared" si="148"/>
        <v>#DIV/0!</v>
      </c>
      <c r="AL60" s="391" t="e">
        <f t="shared" si="148"/>
        <v>#DIV/0!</v>
      </c>
      <c r="AM60" s="391" t="e">
        <f t="shared" si="148"/>
        <v>#DIV/0!</v>
      </c>
      <c r="AN60" s="391" t="e">
        <f t="shared" si="148"/>
        <v>#DIV/0!</v>
      </c>
      <c r="AO60" s="391" t="e">
        <f t="shared" si="148"/>
        <v>#DIV/0!</v>
      </c>
      <c r="AP60" s="391" t="e">
        <f t="shared" si="148"/>
        <v>#DIV/0!</v>
      </c>
      <c r="AQ60" s="391" t="e">
        <f t="shared" si="148"/>
        <v>#DIV/0!</v>
      </c>
      <c r="AR60" s="391" t="e">
        <f t="shared" si="148"/>
        <v>#DIV/0!</v>
      </c>
      <c r="AS60" s="391" t="e">
        <f t="shared" si="148"/>
        <v>#DIV/0!</v>
      </c>
      <c r="AT60" s="391" t="e">
        <f t="shared" si="148"/>
        <v>#DIV/0!</v>
      </c>
      <c r="AU60" s="391" t="e">
        <f t="shared" si="148"/>
        <v>#DIV/0!</v>
      </c>
      <c r="AV60" s="391" t="e">
        <f t="shared" si="148"/>
        <v>#DIV/0!</v>
      </c>
      <c r="AW60" s="391" t="e">
        <f t="shared" si="148"/>
        <v>#DIV/0!</v>
      </c>
      <c r="AX60" s="391" t="e">
        <f t="shared" si="128"/>
        <v>#DIV/0!</v>
      </c>
      <c r="AY60" s="391" t="e">
        <f t="shared" si="128"/>
        <v>#DIV/0!</v>
      </c>
      <c r="AZ60" s="391" t="e">
        <f t="shared" si="148"/>
        <v>#DIV/0!</v>
      </c>
      <c r="BA60" s="391" t="e">
        <f t="shared" si="129"/>
        <v>#DIV/0!</v>
      </c>
      <c r="BB60" s="391" t="e">
        <f t="shared" si="148"/>
        <v>#DIV/0!</v>
      </c>
      <c r="BC60" s="391" t="e">
        <f t="shared" si="148"/>
        <v>#DIV/0!</v>
      </c>
      <c r="BD60" s="391" t="e">
        <f t="shared" si="148"/>
        <v>#DIV/0!</v>
      </c>
      <c r="BE60" s="391" t="e">
        <f t="shared" si="148"/>
        <v>#DIV/0!</v>
      </c>
    </row>
    <row r="61" spans="1:57" s="209" customFormat="1" x14ac:dyDescent="0.15">
      <c r="A61" s="390" t="str">
        <f t="shared" ref="A61:A70" si="149">A13</f>
        <v>Thread 10</v>
      </c>
      <c r="B61" s="391" t="e">
        <f t="shared" ref="B61:AG61" si="150">B13/$I13</f>
        <v>#DIV/0!</v>
      </c>
      <c r="C61" s="391" t="e">
        <f t="shared" si="150"/>
        <v>#DIV/0!</v>
      </c>
      <c r="D61" s="391" t="e">
        <f t="shared" si="150"/>
        <v>#DIV/0!</v>
      </c>
      <c r="E61" s="391" t="e">
        <f t="shared" si="150"/>
        <v>#DIV/0!</v>
      </c>
      <c r="F61" s="391" t="e">
        <f t="shared" si="150"/>
        <v>#DIV/0!</v>
      </c>
      <c r="G61" s="391" t="e">
        <f t="shared" si="150"/>
        <v>#DIV/0!</v>
      </c>
      <c r="H61" s="391" t="e">
        <f t="shared" si="150"/>
        <v>#DIV/0!</v>
      </c>
      <c r="I61" s="391" t="e">
        <f t="shared" si="150"/>
        <v>#DIV/0!</v>
      </c>
      <c r="J61" s="391" t="e">
        <f t="shared" si="150"/>
        <v>#DIV/0!</v>
      </c>
      <c r="K61" s="391" t="e">
        <f t="shared" si="150"/>
        <v>#DIV/0!</v>
      </c>
      <c r="L61" s="391" t="e">
        <f t="shared" si="150"/>
        <v>#DIV/0!</v>
      </c>
      <c r="M61" s="391" t="e">
        <f t="shared" si="150"/>
        <v>#DIV/0!</v>
      </c>
      <c r="N61" s="391" t="e">
        <f t="shared" si="150"/>
        <v>#DIV/0!</v>
      </c>
      <c r="O61" s="391" t="e">
        <f t="shared" si="150"/>
        <v>#DIV/0!</v>
      </c>
      <c r="P61" s="391" t="e">
        <f t="shared" si="150"/>
        <v>#DIV/0!</v>
      </c>
      <c r="Q61" s="391" t="e">
        <f t="shared" si="150"/>
        <v>#DIV/0!</v>
      </c>
      <c r="R61" s="391" t="e">
        <f t="shared" si="150"/>
        <v>#DIV/0!</v>
      </c>
      <c r="S61" s="391" t="e">
        <f t="shared" si="150"/>
        <v>#DIV/0!</v>
      </c>
      <c r="T61" s="391" t="e">
        <f t="shared" si="150"/>
        <v>#DIV/0!</v>
      </c>
      <c r="U61" s="391" t="e">
        <f t="shared" si="150"/>
        <v>#DIV/0!</v>
      </c>
      <c r="V61" s="391" t="e">
        <f t="shared" si="150"/>
        <v>#DIV/0!</v>
      </c>
      <c r="W61" s="391" t="e">
        <f t="shared" si="150"/>
        <v>#DIV/0!</v>
      </c>
      <c r="X61" s="391" t="e">
        <f t="shared" si="150"/>
        <v>#DIV/0!</v>
      </c>
      <c r="Y61" s="391" t="e">
        <f t="shared" si="150"/>
        <v>#DIV/0!</v>
      </c>
      <c r="Z61" s="391" t="e">
        <f t="shared" si="150"/>
        <v>#DIV/0!</v>
      </c>
      <c r="AA61" s="391" t="e">
        <f t="shared" si="150"/>
        <v>#DIV/0!</v>
      </c>
      <c r="AB61" s="391" t="e">
        <f t="shared" si="150"/>
        <v>#DIV/0!</v>
      </c>
      <c r="AC61" s="391" t="e">
        <f t="shared" si="150"/>
        <v>#DIV/0!</v>
      </c>
      <c r="AD61" s="391" t="e">
        <f t="shared" si="150"/>
        <v>#DIV/0!</v>
      </c>
      <c r="AE61" s="391" t="e">
        <f t="shared" si="150"/>
        <v>#DIV/0!</v>
      </c>
      <c r="AF61" s="391" t="e">
        <f t="shared" si="150"/>
        <v>#DIV/0!</v>
      </c>
      <c r="AG61" s="391" t="e">
        <f t="shared" si="150"/>
        <v>#DIV/0!</v>
      </c>
      <c r="AH61" s="391" t="e">
        <f t="shared" ref="AH61:BE61" si="151">AH13/$I13</f>
        <v>#DIV/0!</v>
      </c>
      <c r="AI61" s="391" t="e">
        <f t="shared" si="151"/>
        <v>#DIV/0!</v>
      </c>
      <c r="AJ61" s="391" t="e">
        <f t="shared" si="151"/>
        <v>#DIV/0!</v>
      </c>
      <c r="AK61" s="391" t="e">
        <f t="shared" si="151"/>
        <v>#DIV/0!</v>
      </c>
      <c r="AL61" s="391" t="e">
        <f t="shared" si="151"/>
        <v>#DIV/0!</v>
      </c>
      <c r="AM61" s="391" t="e">
        <f t="shared" si="151"/>
        <v>#DIV/0!</v>
      </c>
      <c r="AN61" s="391" t="e">
        <f t="shared" si="151"/>
        <v>#DIV/0!</v>
      </c>
      <c r="AO61" s="391" t="e">
        <f t="shared" si="151"/>
        <v>#DIV/0!</v>
      </c>
      <c r="AP61" s="391" t="e">
        <f t="shared" si="151"/>
        <v>#DIV/0!</v>
      </c>
      <c r="AQ61" s="391" t="e">
        <f t="shared" si="151"/>
        <v>#DIV/0!</v>
      </c>
      <c r="AR61" s="391" t="e">
        <f t="shared" si="151"/>
        <v>#DIV/0!</v>
      </c>
      <c r="AS61" s="391" t="e">
        <f t="shared" si="151"/>
        <v>#DIV/0!</v>
      </c>
      <c r="AT61" s="391" t="e">
        <f t="shared" si="151"/>
        <v>#DIV/0!</v>
      </c>
      <c r="AU61" s="391" t="e">
        <f t="shared" si="151"/>
        <v>#DIV/0!</v>
      </c>
      <c r="AV61" s="391" t="e">
        <f t="shared" si="151"/>
        <v>#DIV/0!</v>
      </c>
      <c r="AW61" s="391" t="e">
        <f t="shared" si="151"/>
        <v>#DIV/0!</v>
      </c>
      <c r="AX61" s="391" t="e">
        <f t="shared" si="128"/>
        <v>#DIV/0!</v>
      </c>
      <c r="AY61" s="391" t="e">
        <f t="shared" si="128"/>
        <v>#DIV/0!</v>
      </c>
      <c r="AZ61" s="391" t="e">
        <f t="shared" si="151"/>
        <v>#DIV/0!</v>
      </c>
      <c r="BA61" s="391" t="e">
        <f t="shared" si="129"/>
        <v>#DIV/0!</v>
      </c>
      <c r="BB61" s="391" t="e">
        <f t="shared" si="151"/>
        <v>#DIV/0!</v>
      </c>
      <c r="BC61" s="391" t="e">
        <f t="shared" si="151"/>
        <v>#DIV/0!</v>
      </c>
      <c r="BD61" s="391" t="e">
        <f t="shared" si="151"/>
        <v>#DIV/0!</v>
      </c>
      <c r="BE61" s="391" t="e">
        <f t="shared" si="151"/>
        <v>#DIV/0!</v>
      </c>
    </row>
    <row r="62" spans="1:57" s="209" customFormat="1" x14ac:dyDescent="0.15">
      <c r="A62" s="390" t="str">
        <f t="shared" si="149"/>
        <v>Thread 11</v>
      </c>
      <c r="B62" s="391" t="e">
        <f t="shared" ref="B62:AG62" si="152">B14/$I14</f>
        <v>#DIV/0!</v>
      </c>
      <c r="C62" s="391" t="e">
        <f t="shared" si="152"/>
        <v>#DIV/0!</v>
      </c>
      <c r="D62" s="391" t="e">
        <f t="shared" si="152"/>
        <v>#DIV/0!</v>
      </c>
      <c r="E62" s="391" t="e">
        <f t="shared" si="152"/>
        <v>#DIV/0!</v>
      </c>
      <c r="F62" s="391" t="e">
        <f t="shared" si="152"/>
        <v>#DIV/0!</v>
      </c>
      <c r="G62" s="391" t="e">
        <f t="shared" si="152"/>
        <v>#DIV/0!</v>
      </c>
      <c r="H62" s="391" t="e">
        <f t="shared" si="152"/>
        <v>#DIV/0!</v>
      </c>
      <c r="I62" s="391" t="e">
        <f t="shared" si="152"/>
        <v>#DIV/0!</v>
      </c>
      <c r="J62" s="391" t="e">
        <f t="shared" si="152"/>
        <v>#DIV/0!</v>
      </c>
      <c r="K62" s="391" t="e">
        <f t="shared" si="152"/>
        <v>#DIV/0!</v>
      </c>
      <c r="L62" s="391" t="e">
        <f t="shared" si="152"/>
        <v>#DIV/0!</v>
      </c>
      <c r="M62" s="391" t="e">
        <f t="shared" si="152"/>
        <v>#DIV/0!</v>
      </c>
      <c r="N62" s="391" t="e">
        <f t="shared" si="152"/>
        <v>#DIV/0!</v>
      </c>
      <c r="O62" s="391" t="e">
        <f t="shared" si="152"/>
        <v>#DIV/0!</v>
      </c>
      <c r="P62" s="391" t="e">
        <f t="shared" si="152"/>
        <v>#DIV/0!</v>
      </c>
      <c r="Q62" s="391" t="e">
        <f t="shared" si="152"/>
        <v>#DIV/0!</v>
      </c>
      <c r="R62" s="391" t="e">
        <f t="shared" si="152"/>
        <v>#DIV/0!</v>
      </c>
      <c r="S62" s="391" t="e">
        <f t="shared" si="152"/>
        <v>#DIV/0!</v>
      </c>
      <c r="T62" s="391" t="e">
        <f t="shared" si="152"/>
        <v>#DIV/0!</v>
      </c>
      <c r="U62" s="391" t="e">
        <f t="shared" si="152"/>
        <v>#DIV/0!</v>
      </c>
      <c r="V62" s="391" t="e">
        <f t="shared" si="152"/>
        <v>#DIV/0!</v>
      </c>
      <c r="W62" s="391" t="e">
        <f t="shared" si="152"/>
        <v>#DIV/0!</v>
      </c>
      <c r="X62" s="391" t="e">
        <f t="shared" si="152"/>
        <v>#DIV/0!</v>
      </c>
      <c r="Y62" s="391" t="e">
        <f t="shared" si="152"/>
        <v>#DIV/0!</v>
      </c>
      <c r="Z62" s="391" t="e">
        <f t="shared" si="152"/>
        <v>#DIV/0!</v>
      </c>
      <c r="AA62" s="391" t="e">
        <f t="shared" si="152"/>
        <v>#DIV/0!</v>
      </c>
      <c r="AB62" s="391" t="e">
        <f t="shared" si="152"/>
        <v>#DIV/0!</v>
      </c>
      <c r="AC62" s="391" t="e">
        <f t="shared" si="152"/>
        <v>#DIV/0!</v>
      </c>
      <c r="AD62" s="391" t="e">
        <f t="shared" si="152"/>
        <v>#DIV/0!</v>
      </c>
      <c r="AE62" s="391" t="e">
        <f t="shared" si="152"/>
        <v>#DIV/0!</v>
      </c>
      <c r="AF62" s="391" t="e">
        <f t="shared" si="152"/>
        <v>#DIV/0!</v>
      </c>
      <c r="AG62" s="391" t="e">
        <f t="shared" si="152"/>
        <v>#DIV/0!</v>
      </c>
      <c r="AH62" s="391" t="e">
        <f t="shared" ref="AH62:BE62" si="153">AH14/$I14</f>
        <v>#DIV/0!</v>
      </c>
      <c r="AI62" s="391" t="e">
        <f t="shared" si="153"/>
        <v>#DIV/0!</v>
      </c>
      <c r="AJ62" s="391" t="e">
        <f t="shared" si="153"/>
        <v>#DIV/0!</v>
      </c>
      <c r="AK62" s="391" t="e">
        <f t="shared" si="153"/>
        <v>#DIV/0!</v>
      </c>
      <c r="AL62" s="391" t="e">
        <f t="shared" si="153"/>
        <v>#DIV/0!</v>
      </c>
      <c r="AM62" s="391" t="e">
        <f t="shared" si="153"/>
        <v>#DIV/0!</v>
      </c>
      <c r="AN62" s="391" t="e">
        <f t="shared" si="153"/>
        <v>#DIV/0!</v>
      </c>
      <c r="AO62" s="391" t="e">
        <f t="shared" si="153"/>
        <v>#DIV/0!</v>
      </c>
      <c r="AP62" s="391" t="e">
        <f t="shared" si="153"/>
        <v>#DIV/0!</v>
      </c>
      <c r="AQ62" s="391" t="e">
        <f t="shared" si="153"/>
        <v>#DIV/0!</v>
      </c>
      <c r="AR62" s="391" t="e">
        <f t="shared" si="153"/>
        <v>#DIV/0!</v>
      </c>
      <c r="AS62" s="391" t="e">
        <f t="shared" si="153"/>
        <v>#DIV/0!</v>
      </c>
      <c r="AT62" s="391" t="e">
        <f t="shared" si="153"/>
        <v>#DIV/0!</v>
      </c>
      <c r="AU62" s="391" t="e">
        <f t="shared" si="153"/>
        <v>#DIV/0!</v>
      </c>
      <c r="AV62" s="391" t="e">
        <f t="shared" si="153"/>
        <v>#DIV/0!</v>
      </c>
      <c r="AW62" s="391" t="e">
        <f t="shared" si="153"/>
        <v>#DIV/0!</v>
      </c>
      <c r="AX62" s="391" t="e">
        <f t="shared" si="128"/>
        <v>#DIV/0!</v>
      </c>
      <c r="AY62" s="391" t="e">
        <f t="shared" si="128"/>
        <v>#DIV/0!</v>
      </c>
      <c r="AZ62" s="391" t="e">
        <f t="shared" si="153"/>
        <v>#DIV/0!</v>
      </c>
      <c r="BA62" s="391" t="e">
        <f t="shared" si="129"/>
        <v>#DIV/0!</v>
      </c>
      <c r="BB62" s="391" t="e">
        <f t="shared" si="153"/>
        <v>#DIV/0!</v>
      </c>
      <c r="BC62" s="391" t="e">
        <f t="shared" si="153"/>
        <v>#DIV/0!</v>
      </c>
      <c r="BD62" s="391" t="e">
        <f t="shared" si="153"/>
        <v>#DIV/0!</v>
      </c>
      <c r="BE62" s="391" t="e">
        <f t="shared" si="153"/>
        <v>#DIV/0!</v>
      </c>
    </row>
    <row r="63" spans="1:57" s="209" customFormat="1" x14ac:dyDescent="0.15">
      <c r="A63" s="390" t="str">
        <f t="shared" si="149"/>
        <v>Thread 12</v>
      </c>
      <c r="B63" s="391" t="e">
        <f t="shared" ref="B63:AG63" si="154">B15/$I15</f>
        <v>#DIV/0!</v>
      </c>
      <c r="C63" s="391" t="e">
        <f t="shared" si="154"/>
        <v>#DIV/0!</v>
      </c>
      <c r="D63" s="391" t="e">
        <f t="shared" si="154"/>
        <v>#DIV/0!</v>
      </c>
      <c r="E63" s="391" t="e">
        <f t="shared" si="154"/>
        <v>#DIV/0!</v>
      </c>
      <c r="F63" s="391" t="e">
        <f t="shared" si="154"/>
        <v>#DIV/0!</v>
      </c>
      <c r="G63" s="391" t="e">
        <f t="shared" si="154"/>
        <v>#DIV/0!</v>
      </c>
      <c r="H63" s="391" t="e">
        <f t="shared" si="154"/>
        <v>#DIV/0!</v>
      </c>
      <c r="I63" s="391" t="e">
        <f t="shared" si="154"/>
        <v>#DIV/0!</v>
      </c>
      <c r="J63" s="391" t="e">
        <f t="shared" si="154"/>
        <v>#DIV/0!</v>
      </c>
      <c r="K63" s="391" t="e">
        <f t="shared" si="154"/>
        <v>#DIV/0!</v>
      </c>
      <c r="L63" s="391" t="e">
        <f t="shared" si="154"/>
        <v>#DIV/0!</v>
      </c>
      <c r="M63" s="391" t="e">
        <f t="shared" si="154"/>
        <v>#DIV/0!</v>
      </c>
      <c r="N63" s="391" t="e">
        <f t="shared" si="154"/>
        <v>#DIV/0!</v>
      </c>
      <c r="O63" s="391" t="e">
        <f t="shared" si="154"/>
        <v>#DIV/0!</v>
      </c>
      <c r="P63" s="391" t="e">
        <f t="shared" si="154"/>
        <v>#DIV/0!</v>
      </c>
      <c r="Q63" s="391" t="e">
        <f t="shared" si="154"/>
        <v>#DIV/0!</v>
      </c>
      <c r="R63" s="391" t="e">
        <f t="shared" si="154"/>
        <v>#DIV/0!</v>
      </c>
      <c r="S63" s="391" t="e">
        <f t="shared" si="154"/>
        <v>#DIV/0!</v>
      </c>
      <c r="T63" s="391" t="e">
        <f t="shared" si="154"/>
        <v>#DIV/0!</v>
      </c>
      <c r="U63" s="391" t="e">
        <f t="shared" si="154"/>
        <v>#DIV/0!</v>
      </c>
      <c r="V63" s="391" t="e">
        <f t="shared" si="154"/>
        <v>#DIV/0!</v>
      </c>
      <c r="W63" s="391" t="e">
        <f t="shared" si="154"/>
        <v>#DIV/0!</v>
      </c>
      <c r="X63" s="391" t="e">
        <f t="shared" si="154"/>
        <v>#DIV/0!</v>
      </c>
      <c r="Y63" s="391" t="e">
        <f t="shared" si="154"/>
        <v>#DIV/0!</v>
      </c>
      <c r="Z63" s="391" t="e">
        <f t="shared" si="154"/>
        <v>#DIV/0!</v>
      </c>
      <c r="AA63" s="391" t="e">
        <f t="shared" si="154"/>
        <v>#DIV/0!</v>
      </c>
      <c r="AB63" s="391" t="e">
        <f t="shared" si="154"/>
        <v>#DIV/0!</v>
      </c>
      <c r="AC63" s="391" t="e">
        <f t="shared" si="154"/>
        <v>#DIV/0!</v>
      </c>
      <c r="AD63" s="391" t="e">
        <f t="shared" si="154"/>
        <v>#DIV/0!</v>
      </c>
      <c r="AE63" s="391" t="e">
        <f t="shared" si="154"/>
        <v>#DIV/0!</v>
      </c>
      <c r="AF63" s="391" t="e">
        <f t="shared" si="154"/>
        <v>#DIV/0!</v>
      </c>
      <c r="AG63" s="391" t="e">
        <f t="shared" si="154"/>
        <v>#DIV/0!</v>
      </c>
      <c r="AH63" s="391" t="e">
        <f t="shared" ref="AH63:BE63" si="155">AH15/$I15</f>
        <v>#DIV/0!</v>
      </c>
      <c r="AI63" s="391" t="e">
        <f t="shared" si="155"/>
        <v>#DIV/0!</v>
      </c>
      <c r="AJ63" s="391" t="e">
        <f t="shared" si="155"/>
        <v>#DIV/0!</v>
      </c>
      <c r="AK63" s="391" t="e">
        <f t="shared" si="155"/>
        <v>#DIV/0!</v>
      </c>
      <c r="AL63" s="391" t="e">
        <f t="shared" si="155"/>
        <v>#DIV/0!</v>
      </c>
      <c r="AM63" s="391" t="e">
        <f t="shared" si="155"/>
        <v>#DIV/0!</v>
      </c>
      <c r="AN63" s="391" t="e">
        <f t="shared" si="155"/>
        <v>#DIV/0!</v>
      </c>
      <c r="AO63" s="391" t="e">
        <f t="shared" si="155"/>
        <v>#DIV/0!</v>
      </c>
      <c r="AP63" s="391" t="e">
        <f t="shared" si="155"/>
        <v>#DIV/0!</v>
      </c>
      <c r="AQ63" s="391" t="e">
        <f t="shared" si="155"/>
        <v>#DIV/0!</v>
      </c>
      <c r="AR63" s="391" t="e">
        <f t="shared" si="155"/>
        <v>#DIV/0!</v>
      </c>
      <c r="AS63" s="391" t="e">
        <f t="shared" si="155"/>
        <v>#DIV/0!</v>
      </c>
      <c r="AT63" s="391" t="e">
        <f t="shared" si="155"/>
        <v>#DIV/0!</v>
      </c>
      <c r="AU63" s="391" t="e">
        <f t="shared" si="155"/>
        <v>#DIV/0!</v>
      </c>
      <c r="AV63" s="391" t="e">
        <f t="shared" si="155"/>
        <v>#DIV/0!</v>
      </c>
      <c r="AW63" s="391" t="e">
        <f t="shared" si="155"/>
        <v>#DIV/0!</v>
      </c>
      <c r="AX63" s="391" t="e">
        <f t="shared" si="128"/>
        <v>#DIV/0!</v>
      </c>
      <c r="AY63" s="391" t="e">
        <f t="shared" si="128"/>
        <v>#DIV/0!</v>
      </c>
      <c r="AZ63" s="391" t="e">
        <f t="shared" si="155"/>
        <v>#DIV/0!</v>
      </c>
      <c r="BA63" s="391" t="e">
        <f t="shared" si="129"/>
        <v>#DIV/0!</v>
      </c>
      <c r="BB63" s="391" t="e">
        <f t="shared" si="155"/>
        <v>#DIV/0!</v>
      </c>
      <c r="BC63" s="391" t="e">
        <f t="shared" si="155"/>
        <v>#DIV/0!</v>
      </c>
      <c r="BD63" s="391" t="e">
        <f t="shared" si="155"/>
        <v>#DIV/0!</v>
      </c>
      <c r="BE63" s="391" t="e">
        <f t="shared" si="155"/>
        <v>#DIV/0!</v>
      </c>
    </row>
    <row r="64" spans="1:57" s="209" customFormat="1" x14ac:dyDescent="0.15">
      <c r="A64" s="390" t="str">
        <f t="shared" si="149"/>
        <v>Thread 13</v>
      </c>
      <c r="B64" s="391" t="e">
        <f t="shared" ref="B64:AG64" si="156">B16/$I16</f>
        <v>#DIV/0!</v>
      </c>
      <c r="C64" s="391" t="e">
        <f t="shared" si="156"/>
        <v>#DIV/0!</v>
      </c>
      <c r="D64" s="391" t="e">
        <f t="shared" si="156"/>
        <v>#DIV/0!</v>
      </c>
      <c r="E64" s="391" t="e">
        <f t="shared" si="156"/>
        <v>#DIV/0!</v>
      </c>
      <c r="F64" s="391" t="e">
        <f t="shared" si="156"/>
        <v>#DIV/0!</v>
      </c>
      <c r="G64" s="391" t="e">
        <f t="shared" si="156"/>
        <v>#DIV/0!</v>
      </c>
      <c r="H64" s="391" t="e">
        <f t="shared" si="156"/>
        <v>#DIV/0!</v>
      </c>
      <c r="I64" s="391" t="e">
        <f t="shared" si="156"/>
        <v>#DIV/0!</v>
      </c>
      <c r="J64" s="391" t="e">
        <f t="shared" si="156"/>
        <v>#DIV/0!</v>
      </c>
      <c r="K64" s="391" t="e">
        <f t="shared" si="156"/>
        <v>#DIV/0!</v>
      </c>
      <c r="L64" s="391" t="e">
        <f t="shared" si="156"/>
        <v>#DIV/0!</v>
      </c>
      <c r="M64" s="391" t="e">
        <f t="shared" si="156"/>
        <v>#DIV/0!</v>
      </c>
      <c r="N64" s="391" t="e">
        <f t="shared" si="156"/>
        <v>#DIV/0!</v>
      </c>
      <c r="O64" s="391" t="e">
        <f t="shared" si="156"/>
        <v>#DIV/0!</v>
      </c>
      <c r="P64" s="391" t="e">
        <f t="shared" si="156"/>
        <v>#DIV/0!</v>
      </c>
      <c r="Q64" s="391" t="e">
        <f t="shared" si="156"/>
        <v>#DIV/0!</v>
      </c>
      <c r="R64" s="391" t="e">
        <f t="shared" si="156"/>
        <v>#DIV/0!</v>
      </c>
      <c r="S64" s="391" t="e">
        <f t="shared" si="156"/>
        <v>#DIV/0!</v>
      </c>
      <c r="T64" s="391" t="e">
        <f t="shared" si="156"/>
        <v>#DIV/0!</v>
      </c>
      <c r="U64" s="391" t="e">
        <f t="shared" si="156"/>
        <v>#DIV/0!</v>
      </c>
      <c r="V64" s="391" t="e">
        <f t="shared" si="156"/>
        <v>#DIV/0!</v>
      </c>
      <c r="W64" s="391" t="e">
        <f t="shared" si="156"/>
        <v>#DIV/0!</v>
      </c>
      <c r="X64" s="391" t="e">
        <f t="shared" si="156"/>
        <v>#DIV/0!</v>
      </c>
      <c r="Y64" s="391" t="e">
        <f t="shared" si="156"/>
        <v>#DIV/0!</v>
      </c>
      <c r="Z64" s="391" t="e">
        <f t="shared" si="156"/>
        <v>#DIV/0!</v>
      </c>
      <c r="AA64" s="391" t="e">
        <f t="shared" si="156"/>
        <v>#DIV/0!</v>
      </c>
      <c r="AB64" s="391" t="e">
        <f t="shared" si="156"/>
        <v>#DIV/0!</v>
      </c>
      <c r="AC64" s="391" t="e">
        <f t="shared" si="156"/>
        <v>#DIV/0!</v>
      </c>
      <c r="AD64" s="391" t="e">
        <f t="shared" si="156"/>
        <v>#DIV/0!</v>
      </c>
      <c r="AE64" s="391" t="e">
        <f t="shared" si="156"/>
        <v>#DIV/0!</v>
      </c>
      <c r="AF64" s="391" t="e">
        <f t="shared" si="156"/>
        <v>#DIV/0!</v>
      </c>
      <c r="AG64" s="391" t="e">
        <f t="shared" si="156"/>
        <v>#DIV/0!</v>
      </c>
      <c r="AH64" s="391" t="e">
        <f t="shared" ref="AH64:BE64" si="157">AH16/$I16</f>
        <v>#DIV/0!</v>
      </c>
      <c r="AI64" s="391" t="e">
        <f t="shared" si="157"/>
        <v>#DIV/0!</v>
      </c>
      <c r="AJ64" s="391" t="e">
        <f t="shared" si="157"/>
        <v>#DIV/0!</v>
      </c>
      <c r="AK64" s="391" t="e">
        <f t="shared" si="157"/>
        <v>#DIV/0!</v>
      </c>
      <c r="AL64" s="391" t="e">
        <f t="shared" si="157"/>
        <v>#DIV/0!</v>
      </c>
      <c r="AM64" s="391" t="e">
        <f t="shared" si="157"/>
        <v>#DIV/0!</v>
      </c>
      <c r="AN64" s="391" t="e">
        <f t="shared" si="157"/>
        <v>#DIV/0!</v>
      </c>
      <c r="AO64" s="391" t="e">
        <f t="shared" si="157"/>
        <v>#DIV/0!</v>
      </c>
      <c r="AP64" s="391" t="e">
        <f t="shared" si="157"/>
        <v>#DIV/0!</v>
      </c>
      <c r="AQ64" s="391" t="e">
        <f t="shared" si="157"/>
        <v>#DIV/0!</v>
      </c>
      <c r="AR64" s="391" t="e">
        <f t="shared" si="157"/>
        <v>#DIV/0!</v>
      </c>
      <c r="AS64" s="391" t="e">
        <f t="shared" si="157"/>
        <v>#DIV/0!</v>
      </c>
      <c r="AT64" s="391" t="e">
        <f t="shared" si="157"/>
        <v>#DIV/0!</v>
      </c>
      <c r="AU64" s="391" t="e">
        <f t="shared" si="157"/>
        <v>#DIV/0!</v>
      </c>
      <c r="AV64" s="391" t="e">
        <f t="shared" si="157"/>
        <v>#DIV/0!</v>
      </c>
      <c r="AW64" s="391" t="e">
        <f t="shared" si="157"/>
        <v>#DIV/0!</v>
      </c>
      <c r="AX64" s="391" t="e">
        <f t="shared" si="128"/>
        <v>#DIV/0!</v>
      </c>
      <c r="AY64" s="391" t="e">
        <f t="shared" si="128"/>
        <v>#DIV/0!</v>
      </c>
      <c r="AZ64" s="391" t="e">
        <f t="shared" si="157"/>
        <v>#DIV/0!</v>
      </c>
      <c r="BA64" s="391" t="e">
        <f t="shared" si="129"/>
        <v>#DIV/0!</v>
      </c>
      <c r="BB64" s="391" t="e">
        <f t="shared" si="157"/>
        <v>#DIV/0!</v>
      </c>
      <c r="BC64" s="391" t="e">
        <f t="shared" si="157"/>
        <v>#DIV/0!</v>
      </c>
      <c r="BD64" s="391" t="e">
        <f t="shared" si="157"/>
        <v>#DIV/0!</v>
      </c>
      <c r="BE64" s="391" t="e">
        <f t="shared" si="157"/>
        <v>#DIV/0!</v>
      </c>
    </row>
    <row r="65" spans="1:57" s="209" customFormat="1" x14ac:dyDescent="0.15">
      <c r="A65" s="390" t="str">
        <f t="shared" si="149"/>
        <v>Thread 14</v>
      </c>
      <c r="B65" s="391" t="e">
        <f t="shared" ref="B65:AG65" si="158">B17/$I17</f>
        <v>#DIV/0!</v>
      </c>
      <c r="C65" s="391" t="e">
        <f t="shared" si="158"/>
        <v>#DIV/0!</v>
      </c>
      <c r="D65" s="391" t="e">
        <f t="shared" si="158"/>
        <v>#DIV/0!</v>
      </c>
      <c r="E65" s="391" t="e">
        <f t="shared" si="158"/>
        <v>#DIV/0!</v>
      </c>
      <c r="F65" s="391" t="e">
        <f t="shared" si="158"/>
        <v>#DIV/0!</v>
      </c>
      <c r="G65" s="391" t="e">
        <f t="shared" si="158"/>
        <v>#DIV/0!</v>
      </c>
      <c r="H65" s="391" t="e">
        <f t="shared" si="158"/>
        <v>#DIV/0!</v>
      </c>
      <c r="I65" s="391" t="e">
        <f t="shared" si="158"/>
        <v>#DIV/0!</v>
      </c>
      <c r="J65" s="391" t="e">
        <f t="shared" si="158"/>
        <v>#DIV/0!</v>
      </c>
      <c r="K65" s="391" t="e">
        <f t="shared" si="158"/>
        <v>#DIV/0!</v>
      </c>
      <c r="L65" s="391" t="e">
        <f t="shared" si="158"/>
        <v>#DIV/0!</v>
      </c>
      <c r="M65" s="391" t="e">
        <f t="shared" si="158"/>
        <v>#DIV/0!</v>
      </c>
      <c r="N65" s="391" t="e">
        <f t="shared" si="158"/>
        <v>#DIV/0!</v>
      </c>
      <c r="O65" s="391" t="e">
        <f t="shared" si="158"/>
        <v>#DIV/0!</v>
      </c>
      <c r="P65" s="391" t="e">
        <f t="shared" si="158"/>
        <v>#DIV/0!</v>
      </c>
      <c r="Q65" s="391" t="e">
        <f t="shared" si="158"/>
        <v>#DIV/0!</v>
      </c>
      <c r="R65" s="391" t="e">
        <f t="shared" si="158"/>
        <v>#DIV/0!</v>
      </c>
      <c r="S65" s="391" t="e">
        <f t="shared" si="158"/>
        <v>#DIV/0!</v>
      </c>
      <c r="T65" s="391" t="e">
        <f t="shared" si="158"/>
        <v>#DIV/0!</v>
      </c>
      <c r="U65" s="391" t="e">
        <f t="shared" si="158"/>
        <v>#DIV/0!</v>
      </c>
      <c r="V65" s="391" t="e">
        <f t="shared" si="158"/>
        <v>#DIV/0!</v>
      </c>
      <c r="W65" s="391" t="e">
        <f t="shared" si="158"/>
        <v>#DIV/0!</v>
      </c>
      <c r="X65" s="391" t="e">
        <f t="shared" si="158"/>
        <v>#DIV/0!</v>
      </c>
      <c r="Y65" s="391" t="e">
        <f t="shared" si="158"/>
        <v>#DIV/0!</v>
      </c>
      <c r="Z65" s="391" t="e">
        <f t="shared" si="158"/>
        <v>#DIV/0!</v>
      </c>
      <c r="AA65" s="391" t="e">
        <f t="shared" si="158"/>
        <v>#DIV/0!</v>
      </c>
      <c r="AB65" s="391" t="e">
        <f t="shared" si="158"/>
        <v>#DIV/0!</v>
      </c>
      <c r="AC65" s="391" t="e">
        <f t="shared" si="158"/>
        <v>#DIV/0!</v>
      </c>
      <c r="AD65" s="391" t="e">
        <f t="shared" si="158"/>
        <v>#DIV/0!</v>
      </c>
      <c r="AE65" s="391" t="e">
        <f t="shared" si="158"/>
        <v>#DIV/0!</v>
      </c>
      <c r="AF65" s="391" t="e">
        <f t="shared" si="158"/>
        <v>#DIV/0!</v>
      </c>
      <c r="AG65" s="391" t="e">
        <f t="shared" si="158"/>
        <v>#DIV/0!</v>
      </c>
      <c r="AH65" s="391" t="e">
        <f t="shared" ref="AH65:BE65" si="159">AH17/$I17</f>
        <v>#DIV/0!</v>
      </c>
      <c r="AI65" s="391" t="e">
        <f t="shared" si="159"/>
        <v>#DIV/0!</v>
      </c>
      <c r="AJ65" s="391" t="e">
        <f t="shared" si="159"/>
        <v>#DIV/0!</v>
      </c>
      <c r="AK65" s="391" t="e">
        <f t="shared" si="159"/>
        <v>#DIV/0!</v>
      </c>
      <c r="AL65" s="391" t="e">
        <f t="shared" si="159"/>
        <v>#DIV/0!</v>
      </c>
      <c r="AM65" s="391" t="e">
        <f t="shared" si="159"/>
        <v>#DIV/0!</v>
      </c>
      <c r="AN65" s="391" t="e">
        <f t="shared" si="159"/>
        <v>#DIV/0!</v>
      </c>
      <c r="AO65" s="391" t="e">
        <f t="shared" si="159"/>
        <v>#DIV/0!</v>
      </c>
      <c r="AP65" s="391" t="e">
        <f t="shared" si="159"/>
        <v>#DIV/0!</v>
      </c>
      <c r="AQ65" s="391" t="e">
        <f t="shared" si="159"/>
        <v>#DIV/0!</v>
      </c>
      <c r="AR65" s="391" t="e">
        <f t="shared" si="159"/>
        <v>#DIV/0!</v>
      </c>
      <c r="AS65" s="391" t="e">
        <f t="shared" si="159"/>
        <v>#DIV/0!</v>
      </c>
      <c r="AT65" s="391" t="e">
        <f t="shared" si="159"/>
        <v>#DIV/0!</v>
      </c>
      <c r="AU65" s="391" t="e">
        <f t="shared" si="159"/>
        <v>#DIV/0!</v>
      </c>
      <c r="AV65" s="391" t="e">
        <f t="shared" si="159"/>
        <v>#DIV/0!</v>
      </c>
      <c r="AW65" s="391" t="e">
        <f t="shared" si="159"/>
        <v>#DIV/0!</v>
      </c>
      <c r="AX65" s="391" t="e">
        <f t="shared" si="128"/>
        <v>#DIV/0!</v>
      </c>
      <c r="AY65" s="391" t="e">
        <f t="shared" si="128"/>
        <v>#DIV/0!</v>
      </c>
      <c r="AZ65" s="391" t="e">
        <f t="shared" si="159"/>
        <v>#DIV/0!</v>
      </c>
      <c r="BA65" s="391" t="e">
        <f t="shared" si="129"/>
        <v>#DIV/0!</v>
      </c>
      <c r="BB65" s="391" t="e">
        <f t="shared" si="159"/>
        <v>#DIV/0!</v>
      </c>
      <c r="BC65" s="391" t="e">
        <f t="shared" si="159"/>
        <v>#DIV/0!</v>
      </c>
      <c r="BD65" s="391" t="e">
        <f t="shared" si="159"/>
        <v>#DIV/0!</v>
      </c>
      <c r="BE65" s="391" t="e">
        <f t="shared" si="159"/>
        <v>#DIV/0!</v>
      </c>
    </row>
    <row r="66" spans="1:57" s="209" customFormat="1" x14ac:dyDescent="0.15">
      <c r="A66" s="390" t="str">
        <f t="shared" si="149"/>
        <v>Thread 15</v>
      </c>
      <c r="B66" s="391" t="e">
        <f t="shared" ref="B66:AG66" si="160">B18/$I18</f>
        <v>#DIV/0!</v>
      </c>
      <c r="C66" s="391" t="e">
        <f t="shared" si="160"/>
        <v>#DIV/0!</v>
      </c>
      <c r="D66" s="391" t="e">
        <f t="shared" si="160"/>
        <v>#DIV/0!</v>
      </c>
      <c r="E66" s="391" t="e">
        <f t="shared" si="160"/>
        <v>#DIV/0!</v>
      </c>
      <c r="F66" s="391" t="e">
        <f t="shared" si="160"/>
        <v>#DIV/0!</v>
      </c>
      <c r="G66" s="391" t="e">
        <f t="shared" si="160"/>
        <v>#DIV/0!</v>
      </c>
      <c r="H66" s="391" t="e">
        <f t="shared" si="160"/>
        <v>#DIV/0!</v>
      </c>
      <c r="I66" s="391" t="e">
        <f t="shared" si="160"/>
        <v>#DIV/0!</v>
      </c>
      <c r="J66" s="391" t="e">
        <f t="shared" si="160"/>
        <v>#DIV/0!</v>
      </c>
      <c r="K66" s="391" t="e">
        <f t="shared" si="160"/>
        <v>#DIV/0!</v>
      </c>
      <c r="L66" s="391" t="e">
        <f t="shared" si="160"/>
        <v>#DIV/0!</v>
      </c>
      <c r="M66" s="391" t="e">
        <f t="shared" si="160"/>
        <v>#DIV/0!</v>
      </c>
      <c r="N66" s="391" t="e">
        <f t="shared" si="160"/>
        <v>#DIV/0!</v>
      </c>
      <c r="O66" s="391" t="e">
        <f t="shared" si="160"/>
        <v>#DIV/0!</v>
      </c>
      <c r="P66" s="391" t="e">
        <f t="shared" si="160"/>
        <v>#DIV/0!</v>
      </c>
      <c r="Q66" s="391" t="e">
        <f t="shared" si="160"/>
        <v>#DIV/0!</v>
      </c>
      <c r="R66" s="391" t="e">
        <f t="shared" si="160"/>
        <v>#DIV/0!</v>
      </c>
      <c r="S66" s="391" t="e">
        <f t="shared" si="160"/>
        <v>#DIV/0!</v>
      </c>
      <c r="T66" s="391" t="e">
        <f t="shared" si="160"/>
        <v>#DIV/0!</v>
      </c>
      <c r="U66" s="391" t="e">
        <f t="shared" si="160"/>
        <v>#DIV/0!</v>
      </c>
      <c r="V66" s="391" t="e">
        <f t="shared" si="160"/>
        <v>#DIV/0!</v>
      </c>
      <c r="W66" s="391" t="e">
        <f t="shared" si="160"/>
        <v>#DIV/0!</v>
      </c>
      <c r="X66" s="391" t="e">
        <f t="shared" si="160"/>
        <v>#DIV/0!</v>
      </c>
      <c r="Y66" s="391" t="e">
        <f t="shared" si="160"/>
        <v>#DIV/0!</v>
      </c>
      <c r="Z66" s="391" t="e">
        <f t="shared" si="160"/>
        <v>#DIV/0!</v>
      </c>
      <c r="AA66" s="391" t="e">
        <f t="shared" si="160"/>
        <v>#DIV/0!</v>
      </c>
      <c r="AB66" s="391" t="e">
        <f t="shared" si="160"/>
        <v>#DIV/0!</v>
      </c>
      <c r="AC66" s="391" t="e">
        <f t="shared" si="160"/>
        <v>#DIV/0!</v>
      </c>
      <c r="AD66" s="391" t="e">
        <f t="shared" si="160"/>
        <v>#DIV/0!</v>
      </c>
      <c r="AE66" s="391" t="e">
        <f t="shared" si="160"/>
        <v>#DIV/0!</v>
      </c>
      <c r="AF66" s="391" t="e">
        <f t="shared" si="160"/>
        <v>#DIV/0!</v>
      </c>
      <c r="AG66" s="391" t="e">
        <f t="shared" si="160"/>
        <v>#DIV/0!</v>
      </c>
      <c r="AH66" s="391" t="e">
        <f t="shared" ref="AH66:BE66" si="161">AH18/$I18</f>
        <v>#DIV/0!</v>
      </c>
      <c r="AI66" s="391" t="e">
        <f t="shared" si="161"/>
        <v>#DIV/0!</v>
      </c>
      <c r="AJ66" s="391" t="e">
        <f t="shared" si="161"/>
        <v>#DIV/0!</v>
      </c>
      <c r="AK66" s="391" t="e">
        <f t="shared" si="161"/>
        <v>#DIV/0!</v>
      </c>
      <c r="AL66" s="391" t="e">
        <f t="shared" si="161"/>
        <v>#DIV/0!</v>
      </c>
      <c r="AM66" s="391" t="e">
        <f t="shared" si="161"/>
        <v>#DIV/0!</v>
      </c>
      <c r="AN66" s="391" t="e">
        <f t="shared" si="161"/>
        <v>#DIV/0!</v>
      </c>
      <c r="AO66" s="391" t="e">
        <f t="shared" si="161"/>
        <v>#DIV/0!</v>
      </c>
      <c r="AP66" s="391" t="e">
        <f t="shared" si="161"/>
        <v>#DIV/0!</v>
      </c>
      <c r="AQ66" s="391" t="e">
        <f t="shared" si="161"/>
        <v>#DIV/0!</v>
      </c>
      <c r="AR66" s="391" t="e">
        <f t="shared" si="161"/>
        <v>#DIV/0!</v>
      </c>
      <c r="AS66" s="391" t="e">
        <f t="shared" si="161"/>
        <v>#DIV/0!</v>
      </c>
      <c r="AT66" s="391" t="e">
        <f t="shared" si="161"/>
        <v>#DIV/0!</v>
      </c>
      <c r="AU66" s="391" t="e">
        <f t="shared" si="161"/>
        <v>#DIV/0!</v>
      </c>
      <c r="AV66" s="391" t="e">
        <f t="shared" si="161"/>
        <v>#DIV/0!</v>
      </c>
      <c r="AW66" s="391" t="e">
        <f t="shared" si="161"/>
        <v>#DIV/0!</v>
      </c>
      <c r="AX66" s="391" t="e">
        <f t="shared" si="128"/>
        <v>#DIV/0!</v>
      </c>
      <c r="AY66" s="391" t="e">
        <f t="shared" si="128"/>
        <v>#DIV/0!</v>
      </c>
      <c r="AZ66" s="391" t="e">
        <f t="shared" si="161"/>
        <v>#DIV/0!</v>
      </c>
      <c r="BA66" s="391" t="e">
        <f t="shared" si="129"/>
        <v>#DIV/0!</v>
      </c>
      <c r="BB66" s="391" t="e">
        <f t="shared" si="161"/>
        <v>#DIV/0!</v>
      </c>
      <c r="BC66" s="391" t="e">
        <f t="shared" si="161"/>
        <v>#DIV/0!</v>
      </c>
      <c r="BD66" s="391" t="e">
        <f t="shared" si="161"/>
        <v>#DIV/0!</v>
      </c>
      <c r="BE66" s="391" t="e">
        <f t="shared" si="161"/>
        <v>#DIV/0!</v>
      </c>
    </row>
    <row r="67" spans="1:57" s="209" customFormat="1" x14ac:dyDescent="0.15">
      <c r="A67" s="390" t="str">
        <f t="shared" si="149"/>
        <v>◆バリア同期待ち最少スレッド</v>
      </c>
      <c r="B67" s="391" t="e">
        <f t="shared" ref="B67:AG67" si="162">B19/$I19</f>
        <v>#DIV/0!</v>
      </c>
      <c r="C67" s="391" t="e">
        <f t="shared" si="162"/>
        <v>#DIV/0!</v>
      </c>
      <c r="D67" s="391" t="e">
        <f t="shared" si="162"/>
        <v>#DIV/0!</v>
      </c>
      <c r="E67" s="391" t="e">
        <f t="shared" si="162"/>
        <v>#DIV/0!</v>
      </c>
      <c r="F67" s="391" t="e">
        <f t="shared" si="162"/>
        <v>#DIV/0!</v>
      </c>
      <c r="G67" s="391" t="e">
        <f t="shared" si="162"/>
        <v>#DIV/0!</v>
      </c>
      <c r="H67" s="391" t="e">
        <f t="shared" si="162"/>
        <v>#DIV/0!</v>
      </c>
      <c r="I67" s="391" t="e">
        <f t="shared" si="162"/>
        <v>#DIV/0!</v>
      </c>
      <c r="J67" s="391" t="e">
        <f t="shared" si="162"/>
        <v>#DIV/0!</v>
      </c>
      <c r="K67" s="391" t="e">
        <f t="shared" si="162"/>
        <v>#DIV/0!</v>
      </c>
      <c r="L67" s="391" t="e">
        <f t="shared" si="162"/>
        <v>#DIV/0!</v>
      </c>
      <c r="M67" s="391" t="e">
        <f t="shared" si="162"/>
        <v>#DIV/0!</v>
      </c>
      <c r="N67" s="391" t="e">
        <f t="shared" si="162"/>
        <v>#DIV/0!</v>
      </c>
      <c r="O67" s="391" t="e">
        <f t="shared" si="162"/>
        <v>#DIV/0!</v>
      </c>
      <c r="P67" s="391" t="e">
        <f t="shared" si="162"/>
        <v>#DIV/0!</v>
      </c>
      <c r="Q67" s="391" t="e">
        <f t="shared" si="162"/>
        <v>#DIV/0!</v>
      </c>
      <c r="R67" s="391" t="e">
        <f t="shared" si="162"/>
        <v>#DIV/0!</v>
      </c>
      <c r="S67" s="391" t="e">
        <f t="shared" si="162"/>
        <v>#DIV/0!</v>
      </c>
      <c r="T67" s="391" t="e">
        <f t="shared" si="162"/>
        <v>#DIV/0!</v>
      </c>
      <c r="U67" s="391" t="e">
        <f t="shared" si="162"/>
        <v>#DIV/0!</v>
      </c>
      <c r="V67" s="391" t="e">
        <f t="shared" si="162"/>
        <v>#DIV/0!</v>
      </c>
      <c r="W67" s="391" t="e">
        <f t="shared" si="162"/>
        <v>#DIV/0!</v>
      </c>
      <c r="X67" s="391" t="e">
        <f t="shared" si="162"/>
        <v>#DIV/0!</v>
      </c>
      <c r="Y67" s="391" t="e">
        <f t="shared" si="162"/>
        <v>#DIV/0!</v>
      </c>
      <c r="Z67" s="391" t="e">
        <f t="shared" si="162"/>
        <v>#DIV/0!</v>
      </c>
      <c r="AA67" s="391" t="e">
        <f t="shared" si="162"/>
        <v>#DIV/0!</v>
      </c>
      <c r="AB67" s="391" t="e">
        <f t="shared" si="162"/>
        <v>#DIV/0!</v>
      </c>
      <c r="AC67" s="391" t="e">
        <f t="shared" si="162"/>
        <v>#DIV/0!</v>
      </c>
      <c r="AD67" s="391" t="e">
        <f t="shared" si="162"/>
        <v>#DIV/0!</v>
      </c>
      <c r="AE67" s="391" t="e">
        <f t="shared" si="162"/>
        <v>#DIV/0!</v>
      </c>
      <c r="AF67" s="391" t="e">
        <f t="shared" si="162"/>
        <v>#DIV/0!</v>
      </c>
      <c r="AG67" s="391" t="e">
        <f t="shared" si="162"/>
        <v>#DIV/0!</v>
      </c>
      <c r="AH67" s="391" t="e">
        <f t="shared" ref="AH67:BE67" si="163">AH19/$I19</f>
        <v>#DIV/0!</v>
      </c>
      <c r="AI67" s="391" t="e">
        <f t="shared" si="163"/>
        <v>#DIV/0!</v>
      </c>
      <c r="AJ67" s="391" t="e">
        <f t="shared" si="163"/>
        <v>#DIV/0!</v>
      </c>
      <c r="AK67" s="391" t="e">
        <f t="shared" si="163"/>
        <v>#DIV/0!</v>
      </c>
      <c r="AL67" s="391" t="e">
        <f t="shared" si="163"/>
        <v>#DIV/0!</v>
      </c>
      <c r="AM67" s="391" t="e">
        <f t="shared" si="163"/>
        <v>#DIV/0!</v>
      </c>
      <c r="AN67" s="391" t="e">
        <f t="shared" si="163"/>
        <v>#DIV/0!</v>
      </c>
      <c r="AO67" s="391" t="e">
        <f t="shared" si="163"/>
        <v>#DIV/0!</v>
      </c>
      <c r="AP67" s="391" t="e">
        <f t="shared" si="163"/>
        <v>#DIV/0!</v>
      </c>
      <c r="AQ67" s="391" t="e">
        <f t="shared" si="163"/>
        <v>#DIV/0!</v>
      </c>
      <c r="AR67" s="391" t="e">
        <f t="shared" si="163"/>
        <v>#DIV/0!</v>
      </c>
      <c r="AS67" s="391" t="e">
        <f t="shared" si="163"/>
        <v>#DIV/0!</v>
      </c>
      <c r="AT67" s="391" t="e">
        <f t="shared" si="163"/>
        <v>#DIV/0!</v>
      </c>
      <c r="AU67" s="391" t="e">
        <f t="shared" si="163"/>
        <v>#DIV/0!</v>
      </c>
      <c r="AV67" s="391" t="e">
        <f t="shared" si="163"/>
        <v>#DIV/0!</v>
      </c>
      <c r="AW67" s="391" t="e">
        <f t="shared" si="163"/>
        <v>#DIV/0!</v>
      </c>
      <c r="AX67" s="391" t="e">
        <f t="shared" si="128"/>
        <v>#DIV/0!</v>
      </c>
      <c r="AY67" s="391" t="e">
        <f t="shared" si="128"/>
        <v>#DIV/0!</v>
      </c>
      <c r="AZ67" s="391" t="e">
        <f t="shared" si="163"/>
        <v>#DIV/0!</v>
      </c>
      <c r="BA67" s="391" t="e">
        <f t="shared" si="129"/>
        <v>#DIV/0!</v>
      </c>
      <c r="BB67" s="391" t="e">
        <f t="shared" si="163"/>
        <v>#DIV/0!</v>
      </c>
      <c r="BC67" s="391" t="e">
        <f t="shared" si="163"/>
        <v>#DIV/0!</v>
      </c>
      <c r="BD67" s="391" t="e">
        <f t="shared" si="163"/>
        <v>#DIV/0!</v>
      </c>
      <c r="BE67" s="391" t="e">
        <f t="shared" si="163"/>
        <v>#DIV/0!</v>
      </c>
    </row>
    <row r="68" spans="1:57" s="209" customFormat="1" x14ac:dyDescent="0.15">
      <c r="A68" s="390" t="e">
        <f>A20</f>
        <v>#N/A</v>
      </c>
      <c r="B68" s="391" t="e">
        <f t="shared" ref="B68:AG68" si="164">B20/$I20</f>
        <v>#N/A</v>
      </c>
      <c r="C68" s="391" t="e">
        <f t="shared" si="164"/>
        <v>#N/A</v>
      </c>
      <c r="D68" s="391" t="e">
        <f t="shared" si="164"/>
        <v>#N/A</v>
      </c>
      <c r="E68" s="391" t="e">
        <f t="shared" si="164"/>
        <v>#N/A</v>
      </c>
      <c r="F68" s="391" t="e">
        <f t="shared" si="164"/>
        <v>#N/A</v>
      </c>
      <c r="G68" s="391" t="e">
        <f t="shared" si="164"/>
        <v>#N/A</v>
      </c>
      <c r="H68" s="391" t="e">
        <f t="shared" si="164"/>
        <v>#N/A</v>
      </c>
      <c r="I68" s="391" t="e">
        <f t="shared" si="164"/>
        <v>#N/A</v>
      </c>
      <c r="J68" s="391" t="e">
        <f t="shared" si="164"/>
        <v>#N/A</v>
      </c>
      <c r="K68" s="391" t="e">
        <f t="shared" si="164"/>
        <v>#N/A</v>
      </c>
      <c r="L68" s="391" t="e">
        <f t="shared" si="164"/>
        <v>#N/A</v>
      </c>
      <c r="M68" s="391" t="e">
        <f t="shared" si="164"/>
        <v>#N/A</v>
      </c>
      <c r="N68" s="391" t="e">
        <f t="shared" si="164"/>
        <v>#N/A</v>
      </c>
      <c r="O68" s="391" t="e">
        <f t="shared" si="164"/>
        <v>#N/A</v>
      </c>
      <c r="P68" s="391" t="e">
        <f t="shared" si="164"/>
        <v>#N/A</v>
      </c>
      <c r="Q68" s="391" t="e">
        <f t="shared" si="164"/>
        <v>#N/A</v>
      </c>
      <c r="R68" s="391" t="e">
        <f t="shared" si="164"/>
        <v>#N/A</v>
      </c>
      <c r="S68" s="391" t="e">
        <f t="shared" si="164"/>
        <v>#N/A</v>
      </c>
      <c r="T68" s="391" t="e">
        <f t="shared" si="164"/>
        <v>#N/A</v>
      </c>
      <c r="U68" s="391" t="e">
        <f t="shared" si="164"/>
        <v>#N/A</v>
      </c>
      <c r="V68" s="391" t="e">
        <f t="shared" si="164"/>
        <v>#N/A</v>
      </c>
      <c r="W68" s="391" t="e">
        <f t="shared" si="164"/>
        <v>#N/A</v>
      </c>
      <c r="X68" s="391" t="e">
        <f t="shared" si="164"/>
        <v>#N/A</v>
      </c>
      <c r="Y68" s="391" t="e">
        <f t="shared" si="164"/>
        <v>#N/A</v>
      </c>
      <c r="Z68" s="391" t="e">
        <f t="shared" si="164"/>
        <v>#N/A</v>
      </c>
      <c r="AA68" s="391" t="e">
        <f t="shared" si="164"/>
        <v>#N/A</v>
      </c>
      <c r="AB68" s="391" t="e">
        <f t="shared" si="164"/>
        <v>#N/A</v>
      </c>
      <c r="AC68" s="391" t="e">
        <f t="shared" si="164"/>
        <v>#N/A</v>
      </c>
      <c r="AD68" s="391" t="e">
        <f t="shared" si="164"/>
        <v>#N/A</v>
      </c>
      <c r="AE68" s="391" t="e">
        <f t="shared" si="164"/>
        <v>#N/A</v>
      </c>
      <c r="AF68" s="391" t="e">
        <f t="shared" si="164"/>
        <v>#N/A</v>
      </c>
      <c r="AG68" s="391" t="e">
        <f t="shared" si="164"/>
        <v>#N/A</v>
      </c>
      <c r="AH68" s="391" t="e">
        <f t="shared" ref="AH68:BE68" si="165">AH20/$I20</f>
        <v>#N/A</v>
      </c>
      <c r="AI68" s="391" t="e">
        <f t="shared" si="165"/>
        <v>#N/A</v>
      </c>
      <c r="AJ68" s="391" t="e">
        <f t="shared" si="165"/>
        <v>#N/A</v>
      </c>
      <c r="AK68" s="391" t="e">
        <f t="shared" si="165"/>
        <v>#N/A</v>
      </c>
      <c r="AL68" s="391" t="e">
        <f t="shared" si="165"/>
        <v>#N/A</v>
      </c>
      <c r="AM68" s="391" t="e">
        <f t="shared" si="165"/>
        <v>#N/A</v>
      </c>
      <c r="AN68" s="391" t="e">
        <f t="shared" si="165"/>
        <v>#N/A</v>
      </c>
      <c r="AO68" s="391" t="e">
        <f t="shared" si="165"/>
        <v>#N/A</v>
      </c>
      <c r="AP68" s="391" t="e">
        <f t="shared" si="165"/>
        <v>#N/A</v>
      </c>
      <c r="AQ68" s="391" t="e">
        <f t="shared" si="165"/>
        <v>#N/A</v>
      </c>
      <c r="AR68" s="391" t="e">
        <f t="shared" si="165"/>
        <v>#N/A</v>
      </c>
      <c r="AS68" s="391" t="e">
        <f t="shared" si="165"/>
        <v>#N/A</v>
      </c>
      <c r="AT68" s="391" t="e">
        <f t="shared" si="165"/>
        <v>#N/A</v>
      </c>
      <c r="AU68" s="391" t="e">
        <f t="shared" si="165"/>
        <v>#N/A</v>
      </c>
      <c r="AV68" s="391" t="e">
        <f t="shared" si="165"/>
        <v>#N/A</v>
      </c>
      <c r="AW68" s="391" t="e">
        <f t="shared" si="165"/>
        <v>#N/A</v>
      </c>
      <c r="AX68" s="391" t="e">
        <f t="shared" si="128"/>
        <v>#N/A</v>
      </c>
      <c r="AY68" s="391" t="e">
        <f t="shared" si="128"/>
        <v>#N/A</v>
      </c>
      <c r="AZ68" s="391" t="e">
        <f t="shared" si="165"/>
        <v>#N/A</v>
      </c>
      <c r="BA68" s="391" t="e">
        <f t="shared" si="129"/>
        <v>#N/A</v>
      </c>
      <c r="BB68" s="391" t="e">
        <f t="shared" si="165"/>
        <v>#N/A</v>
      </c>
      <c r="BC68" s="391" t="e">
        <f t="shared" si="165"/>
        <v>#N/A</v>
      </c>
      <c r="BD68" s="391" t="e">
        <f t="shared" si="165"/>
        <v>#N/A</v>
      </c>
      <c r="BE68" s="391" t="e">
        <f t="shared" si="165"/>
        <v>#N/A</v>
      </c>
    </row>
    <row r="69" spans="1:57" s="209" customFormat="1" x14ac:dyDescent="0.15">
      <c r="A69" s="390">
        <f t="shared" si="149"/>
        <v>0</v>
      </c>
      <c r="B69" s="391" t="e">
        <f t="shared" ref="B69:AG69" si="166">B21/$I21</f>
        <v>#DIV/0!</v>
      </c>
      <c r="C69" s="391" t="e">
        <f t="shared" si="166"/>
        <v>#DIV/0!</v>
      </c>
      <c r="D69" s="391" t="e">
        <f t="shared" si="166"/>
        <v>#DIV/0!</v>
      </c>
      <c r="E69" s="391" t="e">
        <f t="shared" si="166"/>
        <v>#DIV/0!</v>
      </c>
      <c r="F69" s="391" t="e">
        <f t="shared" si="166"/>
        <v>#DIV/0!</v>
      </c>
      <c r="G69" s="391" t="e">
        <f t="shared" si="166"/>
        <v>#DIV/0!</v>
      </c>
      <c r="H69" s="391" t="e">
        <f t="shared" si="166"/>
        <v>#DIV/0!</v>
      </c>
      <c r="I69" s="391" t="e">
        <f t="shared" si="166"/>
        <v>#DIV/0!</v>
      </c>
      <c r="J69" s="391" t="e">
        <f t="shared" si="166"/>
        <v>#DIV/0!</v>
      </c>
      <c r="K69" s="391" t="e">
        <f t="shared" si="166"/>
        <v>#DIV/0!</v>
      </c>
      <c r="L69" s="391" t="e">
        <f t="shared" si="166"/>
        <v>#DIV/0!</v>
      </c>
      <c r="M69" s="391" t="e">
        <f t="shared" si="166"/>
        <v>#DIV/0!</v>
      </c>
      <c r="N69" s="391" t="e">
        <f t="shared" si="166"/>
        <v>#DIV/0!</v>
      </c>
      <c r="O69" s="391" t="e">
        <f t="shared" si="166"/>
        <v>#DIV/0!</v>
      </c>
      <c r="P69" s="391" t="e">
        <f t="shared" si="166"/>
        <v>#DIV/0!</v>
      </c>
      <c r="Q69" s="391" t="e">
        <f t="shared" si="166"/>
        <v>#DIV/0!</v>
      </c>
      <c r="R69" s="391" t="e">
        <f t="shared" si="166"/>
        <v>#DIV/0!</v>
      </c>
      <c r="S69" s="391" t="e">
        <f t="shared" si="166"/>
        <v>#DIV/0!</v>
      </c>
      <c r="T69" s="391" t="e">
        <f t="shared" si="166"/>
        <v>#DIV/0!</v>
      </c>
      <c r="U69" s="391" t="e">
        <f t="shared" si="166"/>
        <v>#DIV/0!</v>
      </c>
      <c r="V69" s="391" t="e">
        <f t="shared" si="166"/>
        <v>#DIV/0!</v>
      </c>
      <c r="W69" s="391" t="e">
        <f t="shared" si="166"/>
        <v>#DIV/0!</v>
      </c>
      <c r="X69" s="391" t="e">
        <f t="shared" si="166"/>
        <v>#DIV/0!</v>
      </c>
      <c r="Y69" s="391" t="e">
        <f t="shared" si="166"/>
        <v>#DIV/0!</v>
      </c>
      <c r="Z69" s="391" t="e">
        <f t="shared" si="166"/>
        <v>#DIV/0!</v>
      </c>
      <c r="AA69" s="391" t="e">
        <f t="shared" si="166"/>
        <v>#DIV/0!</v>
      </c>
      <c r="AB69" s="391" t="e">
        <f t="shared" si="166"/>
        <v>#DIV/0!</v>
      </c>
      <c r="AC69" s="391" t="e">
        <f t="shared" si="166"/>
        <v>#DIV/0!</v>
      </c>
      <c r="AD69" s="391" t="e">
        <f t="shared" si="166"/>
        <v>#DIV/0!</v>
      </c>
      <c r="AE69" s="391" t="e">
        <f t="shared" si="166"/>
        <v>#DIV/0!</v>
      </c>
      <c r="AF69" s="391" t="e">
        <f t="shared" si="166"/>
        <v>#DIV/0!</v>
      </c>
      <c r="AG69" s="391" t="e">
        <f t="shared" si="166"/>
        <v>#DIV/0!</v>
      </c>
      <c r="AH69" s="391" t="e">
        <f t="shared" ref="AH69:BE69" si="167">AH21/$I21</f>
        <v>#DIV/0!</v>
      </c>
      <c r="AI69" s="391" t="e">
        <f t="shared" si="167"/>
        <v>#DIV/0!</v>
      </c>
      <c r="AJ69" s="391" t="e">
        <f t="shared" si="167"/>
        <v>#DIV/0!</v>
      </c>
      <c r="AK69" s="391" t="e">
        <f t="shared" si="167"/>
        <v>#DIV/0!</v>
      </c>
      <c r="AL69" s="391" t="e">
        <f t="shared" si="167"/>
        <v>#DIV/0!</v>
      </c>
      <c r="AM69" s="391" t="e">
        <f t="shared" si="167"/>
        <v>#DIV/0!</v>
      </c>
      <c r="AN69" s="391" t="e">
        <f t="shared" si="167"/>
        <v>#DIV/0!</v>
      </c>
      <c r="AO69" s="391" t="e">
        <f t="shared" si="167"/>
        <v>#DIV/0!</v>
      </c>
      <c r="AP69" s="391" t="e">
        <f t="shared" si="167"/>
        <v>#DIV/0!</v>
      </c>
      <c r="AQ69" s="391" t="e">
        <f t="shared" si="167"/>
        <v>#DIV/0!</v>
      </c>
      <c r="AR69" s="391" t="e">
        <f t="shared" si="167"/>
        <v>#DIV/0!</v>
      </c>
      <c r="AS69" s="391" t="e">
        <f t="shared" si="167"/>
        <v>#DIV/0!</v>
      </c>
      <c r="AT69" s="391" t="e">
        <f t="shared" si="167"/>
        <v>#DIV/0!</v>
      </c>
      <c r="AU69" s="391" t="e">
        <f t="shared" si="167"/>
        <v>#DIV/0!</v>
      </c>
      <c r="AV69" s="391" t="e">
        <f t="shared" si="167"/>
        <v>#DIV/0!</v>
      </c>
      <c r="AW69" s="391" t="e">
        <f t="shared" si="167"/>
        <v>#DIV/0!</v>
      </c>
      <c r="AX69" s="391" t="e">
        <f t="shared" si="128"/>
        <v>#DIV/0!</v>
      </c>
      <c r="AY69" s="391" t="e">
        <f t="shared" si="128"/>
        <v>#DIV/0!</v>
      </c>
      <c r="AZ69" s="391" t="e">
        <f t="shared" si="167"/>
        <v>#DIV/0!</v>
      </c>
      <c r="BA69" s="391" t="e">
        <f t="shared" si="129"/>
        <v>#DIV/0!</v>
      </c>
      <c r="BB69" s="391" t="e">
        <f t="shared" si="167"/>
        <v>#DIV/0!</v>
      </c>
      <c r="BC69" s="391" t="e">
        <f t="shared" si="167"/>
        <v>#DIV/0!</v>
      </c>
      <c r="BD69" s="391" t="e">
        <f t="shared" si="167"/>
        <v>#DIV/0!</v>
      </c>
      <c r="BE69" s="391" t="e">
        <f t="shared" si="167"/>
        <v>#DIV/0!</v>
      </c>
    </row>
    <row r="70" spans="1:57" s="209" customFormat="1" x14ac:dyDescent="0.15">
      <c r="A70" s="390">
        <f t="shared" si="149"/>
        <v>0</v>
      </c>
      <c r="B70" s="391" t="e">
        <f t="shared" ref="B70:AG70" si="168">B22/$I22</f>
        <v>#DIV/0!</v>
      </c>
      <c r="C70" s="391" t="e">
        <f t="shared" si="168"/>
        <v>#DIV/0!</v>
      </c>
      <c r="D70" s="391" t="e">
        <f t="shared" si="168"/>
        <v>#DIV/0!</v>
      </c>
      <c r="E70" s="391" t="e">
        <f t="shared" si="168"/>
        <v>#DIV/0!</v>
      </c>
      <c r="F70" s="391" t="e">
        <f t="shared" si="168"/>
        <v>#DIV/0!</v>
      </c>
      <c r="G70" s="391" t="e">
        <f t="shared" si="168"/>
        <v>#DIV/0!</v>
      </c>
      <c r="H70" s="391" t="e">
        <f t="shared" si="168"/>
        <v>#DIV/0!</v>
      </c>
      <c r="I70" s="391" t="e">
        <f t="shared" si="168"/>
        <v>#DIV/0!</v>
      </c>
      <c r="J70" s="391" t="e">
        <f t="shared" si="168"/>
        <v>#DIV/0!</v>
      </c>
      <c r="K70" s="391" t="e">
        <f t="shared" si="168"/>
        <v>#DIV/0!</v>
      </c>
      <c r="L70" s="391" t="e">
        <f t="shared" si="168"/>
        <v>#DIV/0!</v>
      </c>
      <c r="M70" s="391" t="e">
        <f t="shared" si="168"/>
        <v>#DIV/0!</v>
      </c>
      <c r="N70" s="391" t="e">
        <f t="shared" si="168"/>
        <v>#DIV/0!</v>
      </c>
      <c r="O70" s="391" t="e">
        <f t="shared" si="168"/>
        <v>#DIV/0!</v>
      </c>
      <c r="P70" s="391" t="e">
        <f t="shared" si="168"/>
        <v>#DIV/0!</v>
      </c>
      <c r="Q70" s="391" t="e">
        <f t="shared" si="168"/>
        <v>#DIV/0!</v>
      </c>
      <c r="R70" s="391" t="e">
        <f t="shared" si="168"/>
        <v>#DIV/0!</v>
      </c>
      <c r="S70" s="391" t="e">
        <f t="shared" si="168"/>
        <v>#DIV/0!</v>
      </c>
      <c r="T70" s="391" t="e">
        <f t="shared" si="168"/>
        <v>#DIV/0!</v>
      </c>
      <c r="U70" s="391" t="e">
        <f t="shared" si="168"/>
        <v>#DIV/0!</v>
      </c>
      <c r="V70" s="391" t="e">
        <f t="shared" si="168"/>
        <v>#DIV/0!</v>
      </c>
      <c r="W70" s="391" t="e">
        <f t="shared" si="168"/>
        <v>#DIV/0!</v>
      </c>
      <c r="X70" s="391" t="e">
        <f t="shared" si="168"/>
        <v>#DIV/0!</v>
      </c>
      <c r="Y70" s="391" t="e">
        <f t="shared" si="168"/>
        <v>#DIV/0!</v>
      </c>
      <c r="Z70" s="391" t="e">
        <f t="shared" si="168"/>
        <v>#DIV/0!</v>
      </c>
      <c r="AA70" s="391" t="e">
        <f t="shared" si="168"/>
        <v>#DIV/0!</v>
      </c>
      <c r="AB70" s="391" t="e">
        <f t="shared" si="168"/>
        <v>#DIV/0!</v>
      </c>
      <c r="AC70" s="391" t="e">
        <f t="shared" si="168"/>
        <v>#DIV/0!</v>
      </c>
      <c r="AD70" s="391" t="e">
        <f t="shared" si="168"/>
        <v>#DIV/0!</v>
      </c>
      <c r="AE70" s="391" t="e">
        <f t="shared" si="168"/>
        <v>#DIV/0!</v>
      </c>
      <c r="AF70" s="391" t="e">
        <f t="shared" si="168"/>
        <v>#DIV/0!</v>
      </c>
      <c r="AG70" s="391" t="e">
        <f t="shared" si="168"/>
        <v>#DIV/0!</v>
      </c>
      <c r="AH70" s="391" t="e">
        <f t="shared" ref="AH70:BE70" si="169">AH22/$I22</f>
        <v>#DIV/0!</v>
      </c>
      <c r="AI70" s="391" t="e">
        <f t="shared" si="169"/>
        <v>#DIV/0!</v>
      </c>
      <c r="AJ70" s="391" t="e">
        <f t="shared" si="169"/>
        <v>#DIV/0!</v>
      </c>
      <c r="AK70" s="391" t="e">
        <f t="shared" si="169"/>
        <v>#DIV/0!</v>
      </c>
      <c r="AL70" s="391" t="e">
        <f t="shared" si="169"/>
        <v>#DIV/0!</v>
      </c>
      <c r="AM70" s="391" t="e">
        <f t="shared" si="169"/>
        <v>#DIV/0!</v>
      </c>
      <c r="AN70" s="391" t="e">
        <f t="shared" si="169"/>
        <v>#DIV/0!</v>
      </c>
      <c r="AO70" s="391" t="e">
        <f t="shared" si="169"/>
        <v>#DIV/0!</v>
      </c>
      <c r="AP70" s="391" t="e">
        <f t="shared" si="169"/>
        <v>#DIV/0!</v>
      </c>
      <c r="AQ70" s="391" t="e">
        <f t="shared" si="169"/>
        <v>#DIV/0!</v>
      </c>
      <c r="AR70" s="391" t="e">
        <f t="shared" si="169"/>
        <v>#DIV/0!</v>
      </c>
      <c r="AS70" s="391" t="e">
        <f t="shared" si="169"/>
        <v>#DIV/0!</v>
      </c>
      <c r="AT70" s="391" t="e">
        <f t="shared" si="169"/>
        <v>#DIV/0!</v>
      </c>
      <c r="AU70" s="391" t="e">
        <f t="shared" si="169"/>
        <v>#DIV/0!</v>
      </c>
      <c r="AV70" s="391" t="e">
        <f t="shared" si="169"/>
        <v>#DIV/0!</v>
      </c>
      <c r="AW70" s="391" t="e">
        <f t="shared" si="169"/>
        <v>#DIV/0!</v>
      </c>
      <c r="AX70" s="391" t="e">
        <f t="shared" si="128"/>
        <v>#DIV/0!</v>
      </c>
      <c r="AY70" s="391" t="e">
        <f t="shared" si="128"/>
        <v>#DIV/0!</v>
      </c>
      <c r="AZ70" s="391" t="e">
        <f t="shared" si="169"/>
        <v>#DIV/0!</v>
      </c>
      <c r="BA70" s="391" t="e">
        <f t="shared" si="129"/>
        <v>#DIV/0!</v>
      </c>
      <c r="BB70" s="391" t="e">
        <f t="shared" si="169"/>
        <v>#DIV/0!</v>
      </c>
      <c r="BC70" s="391" t="e">
        <f t="shared" si="169"/>
        <v>#DIV/0!</v>
      </c>
      <c r="BD70" s="391" t="e">
        <f t="shared" si="169"/>
        <v>#DIV/0!</v>
      </c>
      <c r="BE70" s="391" t="e">
        <f t="shared" si="169"/>
        <v>#DIV/0!</v>
      </c>
    </row>
    <row r="71" spans="1:57" s="209" customFormat="1" ht="12" thickBot="1" x14ac:dyDescent="0.2">
      <c r="A71" s="386"/>
      <c r="B71" s="386"/>
      <c r="C71" s="386"/>
      <c r="D71" s="386"/>
      <c r="E71" s="386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6"/>
      <c r="R71" s="386"/>
      <c r="S71" s="386"/>
      <c r="T71" s="386"/>
      <c r="U71" s="386"/>
      <c r="V71" s="386"/>
      <c r="W71" s="386"/>
      <c r="X71" s="386"/>
      <c r="Y71" s="386"/>
      <c r="Z71" s="386"/>
      <c r="AA71" s="386"/>
      <c r="AB71" s="386"/>
      <c r="AC71" s="386"/>
      <c r="AD71" s="386"/>
      <c r="AE71" s="386"/>
      <c r="AF71" s="386"/>
      <c r="AG71" s="386"/>
      <c r="AH71" s="386"/>
      <c r="AI71" s="386"/>
      <c r="AJ71" s="386"/>
      <c r="AK71" s="386"/>
      <c r="AL71" s="386"/>
      <c r="AM71" s="386"/>
      <c r="AN71" s="386"/>
      <c r="AO71" s="386"/>
      <c r="AP71" s="386"/>
      <c r="AQ71" s="386"/>
      <c r="AR71" s="386"/>
      <c r="AS71" s="386"/>
      <c r="AT71" s="386"/>
      <c r="AU71" s="386"/>
      <c r="AV71" s="386"/>
      <c r="AW71" s="386"/>
      <c r="AX71" s="386"/>
      <c r="AY71" s="386"/>
      <c r="AZ71" s="386"/>
      <c r="BA71" s="386"/>
      <c r="BB71" s="386"/>
      <c r="BC71" s="386"/>
      <c r="BD71" s="386"/>
      <c r="BE71" s="386"/>
    </row>
    <row r="72" spans="1:57" ht="12" thickBot="1" x14ac:dyDescent="0.2">
      <c r="A72" s="392" t="s">
        <v>53</v>
      </c>
      <c r="B72" s="376"/>
      <c r="I72" s="348"/>
      <c r="K72" s="376"/>
      <c r="L72" s="376"/>
      <c r="M72" s="376"/>
      <c r="N72" s="376"/>
      <c r="O72" s="376"/>
      <c r="P72" s="393">
        <f>0</f>
        <v>0</v>
      </c>
      <c r="R72" s="376"/>
      <c r="S72" s="376"/>
      <c r="T72" s="376"/>
      <c r="U72" s="376"/>
      <c r="W72" s="376"/>
      <c r="X72" s="376"/>
      <c r="Y72" s="376"/>
      <c r="Z72" s="376"/>
      <c r="AA72" s="376"/>
      <c r="AB72" s="376"/>
      <c r="AC72" s="376"/>
    </row>
    <row r="73" spans="1:57" x14ac:dyDescent="0.15">
      <c r="A73" s="208"/>
      <c r="B73" s="394" t="str">
        <f>B25</f>
        <v>整数ロードメモリアクセス待ち</v>
      </c>
      <c r="C73" s="394" t="str">
        <f t="shared" ref="C73:M73" si="170">C25</f>
        <v>浮動小数点ロードメモリアクセス待ち</v>
      </c>
      <c r="D73" s="394" t="str">
        <f t="shared" si="170"/>
        <v>ストア待ち</v>
      </c>
      <c r="E73" s="208" t="str">
        <f t="shared" si="170"/>
        <v>I/Oアクセス待ち</v>
      </c>
      <c r="F73" s="395" t="str">
        <f t="shared" si="170"/>
        <v>整数ロードキャッシュアクセス待ち</v>
      </c>
      <c r="G73" s="395" t="str">
        <f t="shared" si="170"/>
        <v>浮動小数点ロードキャッシュアクセス待ち</v>
      </c>
      <c r="H73" s="396" t="str">
        <f t="shared" si="170"/>
        <v>整数演算待ち</v>
      </c>
      <c r="I73" s="396" t="str">
        <f t="shared" si="170"/>
        <v>浮動小数点演算待ち</v>
      </c>
      <c r="J73" s="208" t="str">
        <f t="shared" si="170"/>
        <v>分岐命令待ち</v>
      </c>
      <c r="K73" s="208" t="str">
        <f t="shared" si="170"/>
        <v>命令フェッチ待ち</v>
      </c>
      <c r="L73" s="208" t="str">
        <f t="shared" si="170"/>
        <v>バリア同期待ち</v>
      </c>
      <c r="M73" s="208" t="str">
        <f t="shared" si="170"/>
        <v>uOPコミット</v>
      </c>
      <c r="N73" s="208" t="str">
        <f t="shared" ref="N73:T73" si="171">N25</f>
        <v>その他の待ち</v>
      </c>
      <c r="O73" s="208" t="str">
        <f t="shared" si="171"/>
        <v>1命令コミット</v>
      </c>
      <c r="P73" s="208" t="str">
        <f t="shared" si="171"/>
        <v>整数レジスタ書き込み制約</v>
      </c>
      <c r="Q73" s="208" t="str">
        <f t="shared" si="171"/>
        <v>浮動小数点レジスタ書き込み制約</v>
      </c>
      <c r="R73" s="208" t="str">
        <f t="shared" si="171"/>
        <v>2/3命令コミット(その他)</v>
      </c>
      <c r="S73" s="208" t="str">
        <f t="shared" si="171"/>
        <v>4命令コミット</v>
      </c>
      <c r="T73" s="208" t="str">
        <f t="shared" si="171"/>
        <v>total</v>
      </c>
    </row>
    <row r="74" spans="1:57" x14ac:dyDescent="0.15">
      <c r="A74" s="382" t="str">
        <f>A51</f>
        <v>Thread 0</v>
      </c>
      <c r="B74" s="397" t="e">
        <f>D51</f>
        <v>#DIV/0!</v>
      </c>
      <c r="C74" s="397" t="e">
        <f>C51-D51</f>
        <v>#DIV/0!</v>
      </c>
      <c r="D74" s="397" t="e">
        <f>N51</f>
        <v>#DIV/0!</v>
      </c>
      <c r="E74" s="397" t="e">
        <f>E51</f>
        <v>#DIV/0!</v>
      </c>
      <c r="F74" s="397" t="e">
        <f t="shared" ref="F74:F93" si="172">F51-B74-E74</f>
        <v>#DIV/0!</v>
      </c>
      <c r="G74" s="397" t="e">
        <f t="shared" ref="G74:G93" si="173">G51-SUM(B74:F74)+D74</f>
        <v>#DIV/0!</v>
      </c>
      <c r="H74" s="397" t="e">
        <f>K51-O51</f>
        <v>#DIV/0!</v>
      </c>
      <c r="I74" s="397" t="e">
        <f>O51</f>
        <v>#DIV/0!</v>
      </c>
      <c r="J74" s="397" t="e">
        <f>L51</f>
        <v>#DIV/0!</v>
      </c>
      <c r="K74" s="397" t="e">
        <f>J51-N51-P51</f>
        <v>#DIV/0!</v>
      </c>
      <c r="L74" s="397" t="e">
        <f>P51</f>
        <v>#DIV/0!</v>
      </c>
      <c r="M74" s="397" t="e">
        <f>AD51-I51</f>
        <v>#DIV/0!</v>
      </c>
      <c r="N74" s="397" t="e">
        <f t="shared" ref="N74:N93" si="174">U51-SUM(B74:M74)</f>
        <v>#DIV/0!</v>
      </c>
      <c r="O74" s="397" t="e">
        <f>X51</f>
        <v>#DIV/0!</v>
      </c>
      <c r="P74" s="397" t="e">
        <f>R51</f>
        <v>#DIV/0!</v>
      </c>
      <c r="Q74" s="397">
        <f>$P$72</f>
        <v>0</v>
      </c>
      <c r="R74" s="397" t="e">
        <f t="shared" ref="R74:R93" si="175">SUM(V51,Y51)-SUM(P74:Q74)</f>
        <v>#DIV/0!</v>
      </c>
      <c r="S74" s="397" t="e">
        <f t="shared" ref="S74:S93" si="176">B51-SUM(U51:V51,X51:Y51)</f>
        <v>#DIV/0!</v>
      </c>
      <c r="T74" s="397" t="e">
        <f t="shared" ref="T74:T93" si="177">SUM(B74:S74)</f>
        <v>#DIV/0!</v>
      </c>
    </row>
    <row r="75" spans="1:57" x14ac:dyDescent="0.15">
      <c r="A75" s="382" t="str">
        <f t="shared" ref="A75:A93" si="178">A52</f>
        <v>Thread 1</v>
      </c>
      <c r="B75" s="397" t="e">
        <f t="shared" ref="B75:B83" si="179">D52</f>
        <v>#DIV/0!</v>
      </c>
      <c r="C75" s="397" t="e">
        <f t="shared" ref="C75:C83" si="180">C52-D52</f>
        <v>#DIV/0!</v>
      </c>
      <c r="D75" s="397" t="e">
        <f t="shared" ref="D75:D83" si="181">N52</f>
        <v>#DIV/0!</v>
      </c>
      <c r="E75" s="397" t="e">
        <f t="shared" ref="E75:E93" si="182">E52</f>
        <v>#DIV/0!</v>
      </c>
      <c r="F75" s="397" t="e">
        <f t="shared" si="172"/>
        <v>#DIV/0!</v>
      </c>
      <c r="G75" s="397" t="e">
        <f t="shared" si="173"/>
        <v>#DIV/0!</v>
      </c>
      <c r="H75" s="397" t="e">
        <f t="shared" ref="H75:H83" si="183">K52-O52</f>
        <v>#DIV/0!</v>
      </c>
      <c r="I75" s="397" t="e">
        <f t="shared" ref="I75:I83" si="184">O52</f>
        <v>#DIV/0!</v>
      </c>
      <c r="J75" s="397" t="e">
        <f t="shared" ref="J75:J83" si="185">L52</f>
        <v>#DIV/0!</v>
      </c>
      <c r="K75" s="397" t="e">
        <f t="shared" ref="K75:K93" si="186">J52-N52-P52</f>
        <v>#DIV/0!</v>
      </c>
      <c r="L75" s="397" t="e">
        <f t="shared" ref="L75:L93" si="187">P52</f>
        <v>#DIV/0!</v>
      </c>
      <c r="M75" s="397" t="e">
        <f t="shared" ref="M75:M83" si="188">AD52-I52</f>
        <v>#DIV/0!</v>
      </c>
      <c r="N75" s="397" t="e">
        <f t="shared" si="174"/>
        <v>#DIV/0!</v>
      </c>
      <c r="O75" s="397" t="e">
        <f t="shared" ref="O75:O83" si="189">X52</f>
        <v>#DIV/0!</v>
      </c>
      <c r="P75" s="397" t="e">
        <f t="shared" ref="P75:P83" si="190">R52</f>
        <v>#DIV/0!</v>
      </c>
      <c r="Q75" s="397">
        <f t="shared" ref="Q75:Q93" si="191">$P$72</f>
        <v>0</v>
      </c>
      <c r="R75" s="397" t="e">
        <f t="shared" si="175"/>
        <v>#DIV/0!</v>
      </c>
      <c r="S75" s="397" t="e">
        <f t="shared" si="176"/>
        <v>#DIV/0!</v>
      </c>
      <c r="T75" s="397" t="e">
        <f t="shared" si="177"/>
        <v>#DIV/0!</v>
      </c>
    </row>
    <row r="76" spans="1:57" x14ac:dyDescent="0.15">
      <c r="A76" s="382" t="str">
        <f t="shared" si="178"/>
        <v>Thread 2</v>
      </c>
      <c r="B76" s="397" t="e">
        <f t="shared" si="179"/>
        <v>#DIV/0!</v>
      </c>
      <c r="C76" s="397" t="e">
        <f t="shared" si="180"/>
        <v>#DIV/0!</v>
      </c>
      <c r="D76" s="397" t="e">
        <f t="shared" si="181"/>
        <v>#DIV/0!</v>
      </c>
      <c r="E76" s="397" t="e">
        <f t="shared" si="182"/>
        <v>#DIV/0!</v>
      </c>
      <c r="F76" s="397" t="e">
        <f t="shared" si="172"/>
        <v>#DIV/0!</v>
      </c>
      <c r="G76" s="397" t="e">
        <f t="shared" si="173"/>
        <v>#DIV/0!</v>
      </c>
      <c r="H76" s="397" t="e">
        <f t="shared" si="183"/>
        <v>#DIV/0!</v>
      </c>
      <c r="I76" s="397" t="e">
        <f t="shared" si="184"/>
        <v>#DIV/0!</v>
      </c>
      <c r="J76" s="397" t="e">
        <f t="shared" si="185"/>
        <v>#DIV/0!</v>
      </c>
      <c r="K76" s="397" t="e">
        <f t="shared" si="186"/>
        <v>#DIV/0!</v>
      </c>
      <c r="L76" s="397" t="e">
        <f t="shared" si="187"/>
        <v>#DIV/0!</v>
      </c>
      <c r="M76" s="397" t="e">
        <f t="shared" si="188"/>
        <v>#DIV/0!</v>
      </c>
      <c r="N76" s="397" t="e">
        <f t="shared" si="174"/>
        <v>#DIV/0!</v>
      </c>
      <c r="O76" s="397" t="e">
        <f t="shared" si="189"/>
        <v>#DIV/0!</v>
      </c>
      <c r="P76" s="397" t="e">
        <f t="shared" si="190"/>
        <v>#DIV/0!</v>
      </c>
      <c r="Q76" s="397">
        <f t="shared" si="191"/>
        <v>0</v>
      </c>
      <c r="R76" s="397" t="e">
        <f t="shared" si="175"/>
        <v>#DIV/0!</v>
      </c>
      <c r="S76" s="397" t="e">
        <f t="shared" si="176"/>
        <v>#DIV/0!</v>
      </c>
      <c r="T76" s="397" t="e">
        <f t="shared" si="177"/>
        <v>#DIV/0!</v>
      </c>
    </row>
    <row r="77" spans="1:57" x14ac:dyDescent="0.15">
      <c r="A77" s="382" t="str">
        <f t="shared" si="178"/>
        <v>Thread 3</v>
      </c>
      <c r="B77" s="397" t="e">
        <f t="shared" si="179"/>
        <v>#DIV/0!</v>
      </c>
      <c r="C77" s="397" t="e">
        <f t="shared" si="180"/>
        <v>#DIV/0!</v>
      </c>
      <c r="D77" s="397" t="e">
        <f t="shared" si="181"/>
        <v>#DIV/0!</v>
      </c>
      <c r="E77" s="397" t="e">
        <f t="shared" si="182"/>
        <v>#DIV/0!</v>
      </c>
      <c r="F77" s="397" t="e">
        <f t="shared" si="172"/>
        <v>#DIV/0!</v>
      </c>
      <c r="G77" s="397" t="e">
        <f t="shared" si="173"/>
        <v>#DIV/0!</v>
      </c>
      <c r="H77" s="397" t="e">
        <f t="shared" si="183"/>
        <v>#DIV/0!</v>
      </c>
      <c r="I77" s="397" t="e">
        <f t="shared" si="184"/>
        <v>#DIV/0!</v>
      </c>
      <c r="J77" s="397" t="e">
        <f t="shared" si="185"/>
        <v>#DIV/0!</v>
      </c>
      <c r="K77" s="397" t="e">
        <f t="shared" si="186"/>
        <v>#DIV/0!</v>
      </c>
      <c r="L77" s="397" t="e">
        <f t="shared" si="187"/>
        <v>#DIV/0!</v>
      </c>
      <c r="M77" s="397" t="e">
        <f t="shared" si="188"/>
        <v>#DIV/0!</v>
      </c>
      <c r="N77" s="397" t="e">
        <f t="shared" si="174"/>
        <v>#DIV/0!</v>
      </c>
      <c r="O77" s="397" t="e">
        <f t="shared" si="189"/>
        <v>#DIV/0!</v>
      </c>
      <c r="P77" s="397" t="e">
        <f t="shared" si="190"/>
        <v>#DIV/0!</v>
      </c>
      <c r="Q77" s="397">
        <f t="shared" si="191"/>
        <v>0</v>
      </c>
      <c r="R77" s="397" t="e">
        <f t="shared" si="175"/>
        <v>#DIV/0!</v>
      </c>
      <c r="S77" s="397" t="e">
        <f t="shared" si="176"/>
        <v>#DIV/0!</v>
      </c>
      <c r="T77" s="397" t="e">
        <f t="shared" si="177"/>
        <v>#DIV/0!</v>
      </c>
    </row>
    <row r="78" spans="1:57" x14ac:dyDescent="0.15">
      <c r="A78" s="382" t="str">
        <f t="shared" si="178"/>
        <v>Thread 4</v>
      </c>
      <c r="B78" s="397" t="e">
        <f t="shared" si="179"/>
        <v>#DIV/0!</v>
      </c>
      <c r="C78" s="397" t="e">
        <f t="shared" si="180"/>
        <v>#DIV/0!</v>
      </c>
      <c r="D78" s="397" t="e">
        <f t="shared" si="181"/>
        <v>#DIV/0!</v>
      </c>
      <c r="E78" s="397" t="e">
        <f t="shared" si="182"/>
        <v>#DIV/0!</v>
      </c>
      <c r="F78" s="397" t="e">
        <f t="shared" si="172"/>
        <v>#DIV/0!</v>
      </c>
      <c r="G78" s="397" t="e">
        <f t="shared" si="173"/>
        <v>#DIV/0!</v>
      </c>
      <c r="H78" s="397" t="e">
        <f t="shared" si="183"/>
        <v>#DIV/0!</v>
      </c>
      <c r="I78" s="397" t="e">
        <f t="shared" si="184"/>
        <v>#DIV/0!</v>
      </c>
      <c r="J78" s="397" t="e">
        <f t="shared" si="185"/>
        <v>#DIV/0!</v>
      </c>
      <c r="K78" s="397" t="e">
        <f t="shared" si="186"/>
        <v>#DIV/0!</v>
      </c>
      <c r="L78" s="397" t="e">
        <f t="shared" si="187"/>
        <v>#DIV/0!</v>
      </c>
      <c r="M78" s="397" t="e">
        <f t="shared" si="188"/>
        <v>#DIV/0!</v>
      </c>
      <c r="N78" s="397" t="e">
        <f t="shared" si="174"/>
        <v>#DIV/0!</v>
      </c>
      <c r="O78" s="397" t="e">
        <f t="shared" si="189"/>
        <v>#DIV/0!</v>
      </c>
      <c r="P78" s="397" t="e">
        <f t="shared" si="190"/>
        <v>#DIV/0!</v>
      </c>
      <c r="Q78" s="397">
        <f t="shared" si="191"/>
        <v>0</v>
      </c>
      <c r="R78" s="397" t="e">
        <f t="shared" si="175"/>
        <v>#DIV/0!</v>
      </c>
      <c r="S78" s="397" t="e">
        <f t="shared" si="176"/>
        <v>#DIV/0!</v>
      </c>
      <c r="T78" s="397" t="e">
        <f t="shared" si="177"/>
        <v>#DIV/0!</v>
      </c>
    </row>
    <row r="79" spans="1:57" x14ac:dyDescent="0.15">
      <c r="A79" s="382" t="str">
        <f t="shared" si="178"/>
        <v>Thread 5</v>
      </c>
      <c r="B79" s="397" t="e">
        <f t="shared" si="179"/>
        <v>#DIV/0!</v>
      </c>
      <c r="C79" s="397" t="e">
        <f t="shared" si="180"/>
        <v>#DIV/0!</v>
      </c>
      <c r="D79" s="397" t="e">
        <f t="shared" si="181"/>
        <v>#DIV/0!</v>
      </c>
      <c r="E79" s="397" t="e">
        <f t="shared" si="182"/>
        <v>#DIV/0!</v>
      </c>
      <c r="F79" s="397" t="e">
        <f t="shared" si="172"/>
        <v>#DIV/0!</v>
      </c>
      <c r="G79" s="397" t="e">
        <f t="shared" si="173"/>
        <v>#DIV/0!</v>
      </c>
      <c r="H79" s="397" t="e">
        <f t="shared" si="183"/>
        <v>#DIV/0!</v>
      </c>
      <c r="I79" s="397" t="e">
        <f t="shared" si="184"/>
        <v>#DIV/0!</v>
      </c>
      <c r="J79" s="397" t="e">
        <f t="shared" si="185"/>
        <v>#DIV/0!</v>
      </c>
      <c r="K79" s="397" t="e">
        <f t="shared" si="186"/>
        <v>#DIV/0!</v>
      </c>
      <c r="L79" s="397" t="e">
        <f t="shared" si="187"/>
        <v>#DIV/0!</v>
      </c>
      <c r="M79" s="397" t="e">
        <f t="shared" si="188"/>
        <v>#DIV/0!</v>
      </c>
      <c r="N79" s="397" t="e">
        <f t="shared" si="174"/>
        <v>#DIV/0!</v>
      </c>
      <c r="O79" s="397" t="e">
        <f t="shared" si="189"/>
        <v>#DIV/0!</v>
      </c>
      <c r="P79" s="397" t="e">
        <f t="shared" si="190"/>
        <v>#DIV/0!</v>
      </c>
      <c r="Q79" s="397">
        <f t="shared" si="191"/>
        <v>0</v>
      </c>
      <c r="R79" s="397" t="e">
        <f t="shared" si="175"/>
        <v>#DIV/0!</v>
      </c>
      <c r="S79" s="397" t="e">
        <f t="shared" si="176"/>
        <v>#DIV/0!</v>
      </c>
      <c r="T79" s="397" t="e">
        <f t="shared" si="177"/>
        <v>#DIV/0!</v>
      </c>
    </row>
    <row r="80" spans="1:57" x14ac:dyDescent="0.15">
      <c r="A80" s="382" t="str">
        <f t="shared" si="178"/>
        <v>Thread 6</v>
      </c>
      <c r="B80" s="397" t="e">
        <f t="shared" si="179"/>
        <v>#DIV/0!</v>
      </c>
      <c r="C80" s="397" t="e">
        <f t="shared" si="180"/>
        <v>#DIV/0!</v>
      </c>
      <c r="D80" s="397" t="e">
        <f t="shared" si="181"/>
        <v>#DIV/0!</v>
      </c>
      <c r="E80" s="397" t="e">
        <f t="shared" si="182"/>
        <v>#DIV/0!</v>
      </c>
      <c r="F80" s="397" t="e">
        <f t="shared" si="172"/>
        <v>#DIV/0!</v>
      </c>
      <c r="G80" s="397" t="e">
        <f t="shared" si="173"/>
        <v>#DIV/0!</v>
      </c>
      <c r="H80" s="397" t="e">
        <f t="shared" si="183"/>
        <v>#DIV/0!</v>
      </c>
      <c r="I80" s="397" t="e">
        <f t="shared" si="184"/>
        <v>#DIV/0!</v>
      </c>
      <c r="J80" s="397" t="e">
        <f t="shared" si="185"/>
        <v>#DIV/0!</v>
      </c>
      <c r="K80" s="397" t="e">
        <f t="shared" si="186"/>
        <v>#DIV/0!</v>
      </c>
      <c r="L80" s="397" t="e">
        <f t="shared" si="187"/>
        <v>#DIV/0!</v>
      </c>
      <c r="M80" s="397" t="e">
        <f t="shared" si="188"/>
        <v>#DIV/0!</v>
      </c>
      <c r="N80" s="397" t="e">
        <f t="shared" si="174"/>
        <v>#DIV/0!</v>
      </c>
      <c r="O80" s="397" t="e">
        <f t="shared" si="189"/>
        <v>#DIV/0!</v>
      </c>
      <c r="P80" s="397" t="e">
        <f t="shared" si="190"/>
        <v>#DIV/0!</v>
      </c>
      <c r="Q80" s="397">
        <f t="shared" si="191"/>
        <v>0</v>
      </c>
      <c r="R80" s="397" t="e">
        <f t="shared" si="175"/>
        <v>#DIV/0!</v>
      </c>
      <c r="S80" s="397" t="e">
        <f t="shared" si="176"/>
        <v>#DIV/0!</v>
      </c>
      <c r="T80" s="397" t="e">
        <f t="shared" si="177"/>
        <v>#DIV/0!</v>
      </c>
    </row>
    <row r="81" spans="1:20" x14ac:dyDescent="0.15">
      <c r="A81" s="382" t="str">
        <f t="shared" si="178"/>
        <v>Thread 7</v>
      </c>
      <c r="B81" s="397" t="e">
        <f t="shared" si="179"/>
        <v>#DIV/0!</v>
      </c>
      <c r="C81" s="397" t="e">
        <f t="shared" si="180"/>
        <v>#DIV/0!</v>
      </c>
      <c r="D81" s="397" t="e">
        <f t="shared" si="181"/>
        <v>#DIV/0!</v>
      </c>
      <c r="E81" s="397" t="e">
        <f t="shared" si="182"/>
        <v>#DIV/0!</v>
      </c>
      <c r="F81" s="397" t="e">
        <f t="shared" si="172"/>
        <v>#DIV/0!</v>
      </c>
      <c r="G81" s="397" t="e">
        <f t="shared" si="173"/>
        <v>#DIV/0!</v>
      </c>
      <c r="H81" s="397" t="e">
        <f t="shared" si="183"/>
        <v>#DIV/0!</v>
      </c>
      <c r="I81" s="397" t="e">
        <f t="shared" si="184"/>
        <v>#DIV/0!</v>
      </c>
      <c r="J81" s="397" t="e">
        <f t="shared" si="185"/>
        <v>#DIV/0!</v>
      </c>
      <c r="K81" s="397" t="e">
        <f t="shared" si="186"/>
        <v>#DIV/0!</v>
      </c>
      <c r="L81" s="397" t="e">
        <f t="shared" si="187"/>
        <v>#DIV/0!</v>
      </c>
      <c r="M81" s="397" t="e">
        <f t="shared" si="188"/>
        <v>#DIV/0!</v>
      </c>
      <c r="N81" s="397" t="e">
        <f t="shared" si="174"/>
        <v>#DIV/0!</v>
      </c>
      <c r="O81" s="397" t="e">
        <f t="shared" si="189"/>
        <v>#DIV/0!</v>
      </c>
      <c r="P81" s="397" t="e">
        <f t="shared" si="190"/>
        <v>#DIV/0!</v>
      </c>
      <c r="Q81" s="397">
        <f t="shared" si="191"/>
        <v>0</v>
      </c>
      <c r="R81" s="397" t="e">
        <f t="shared" si="175"/>
        <v>#DIV/0!</v>
      </c>
      <c r="S81" s="397" t="e">
        <f t="shared" si="176"/>
        <v>#DIV/0!</v>
      </c>
      <c r="T81" s="397" t="e">
        <f t="shared" si="177"/>
        <v>#DIV/0!</v>
      </c>
    </row>
    <row r="82" spans="1:20" x14ac:dyDescent="0.15">
      <c r="A82" s="382" t="str">
        <f t="shared" si="178"/>
        <v>Thread 8</v>
      </c>
      <c r="B82" s="397" t="e">
        <f t="shared" si="179"/>
        <v>#DIV/0!</v>
      </c>
      <c r="C82" s="397" t="e">
        <f t="shared" si="180"/>
        <v>#DIV/0!</v>
      </c>
      <c r="D82" s="397" t="e">
        <f t="shared" si="181"/>
        <v>#DIV/0!</v>
      </c>
      <c r="E82" s="397" t="e">
        <f t="shared" si="182"/>
        <v>#DIV/0!</v>
      </c>
      <c r="F82" s="397" t="e">
        <f t="shared" si="172"/>
        <v>#DIV/0!</v>
      </c>
      <c r="G82" s="397" t="e">
        <f t="shared" si="173"/>
        <v>#DIV/0!</v>
      </c>
      <c r="H82" s="397" t="e">
        <f t="shared" si="183"/>
        <v>#DIV/0!</v>
      </c>
      <c r="I82" s="397" t="e">
        <f t="shared" si="184"/>
        <v>#DIV/0!</v>
      </c>
      <c r="J82" s="397" t="e">
        <f t="shared" si="185"/>
        <v>#DIV/0!</v>
      </c>
      <c r="K82" s="397" t="e">
        <f t="shared" si="186"/>
        <v>#DIV/0!</v>
      </c>
      <c r="L82" s="397" t="e">
        <f t="shared" si="187"/>
        <v>#DIV/0!</v>
      </c>
      <c r="M82" s="397" t="e">
        <f t="shared" si="188"/>
        <v>#DIV/0!</v>
      </c>
      <c r="N82" s="397" t="e">
        <f t="shared" si="174"/>
        <v>#DIV/0!</v>
      </c>
      <c r="O82" s="397" t="e">
        <f t="shared" si="189"/>
        <v>#DIV/0!</v>
      </c>
      <c r="P82" s="397" t="e">
        <f t="shared" si="190"/>
        <v>#DIV/0!</v>
      </c>
      <c r="Q82" s="397">
        <f t="shared" si="191"/>
        <v>0</v>
      </c>
      <c r="R82" s="397" t="e">
        <f t="shared" si="175"/>
        <v>#DIV/0!</v>
      </c>
      <c r="S82" s="397" t="e">
        <f t="shared" si="176"/>
        <v>#DIV/0!</v>
      </c>
      <c r="T82" s="397" t="e">
        <f t="shared" si="177"/>
        <v>#DIV/0!</v>
      </c>
    </row>
    <row r="83" spans="1:20" x14ac:dyDescent="0.15">
      <c r="A83" s="382" t="str">
        <f t="shared" si="178"/>
        <v>Thread 9</v>
      </c>
      <c r="B83" s="397" t="e">
        <f t="shared" si="179"/>
        <v>#DIV/0!</v>
      </c>
      <c r="C83" s="397" t="e">
        <f t="shared" si="180"/>
        <v>#DIV/0!</v>
      </c>
      <c r="D83" s="397" t="e">
        <f t="shared" si="181"/>
        <v>#DIV/0!</v>
      </c>
      <c r="E83" s="397" t="e">
        <f t="shared" si="182"/>
        <v>#DIV/0!</v>
      </c>
      <c r="F83" s="397" t="e">
        <f t="shared" si="172"/>
        <v>#DIV/0!</v>
      </c>
      <c r="G83" s="397" t="e">
        <f t="shared" si="173"/>
        <v>#DIV/0!</v>
      </c>
      <c r="H83" s="397" t="e">
        <f t="shared" si="183"/>
        <v>#DIV/0!</v>
      </c>
      <c r="I83" s="397" t="e">
        <f t="shared" si="184"/>
        <v>#DIV/0!</v>
      </c>
      <c r="J83" s="397" t="e">
        <f t="shared" si="185"/>
        <v>#DIV/0!</v>
      </c>
      <c r="K83" s="397" t="e">
        <f t="shared" si="186"/>
        <v>#DIV/0!</v>
      </c>
      <c r="L83" s="397" t="e">
        <f t="shared" si="187"/>
        <v>#DIV/0!</v>
      </c>
      <c r="M83" s="397" t="e">
        <f t="shared" si="188"/>
        <v>#DIV/0!</v>
      </c>
      <c r="N83" s="397" t="e">
        <f t="shared" si="174"/>
        <v>#DIV/0!</v>
      </c>
      <c r="O83" s="397" t="e">
        <f t="shared" si="189"/>
        <v>#DIV/0!</v>
      </c>
      <c r="P83" s="397" t="e">
        <f t="shared" si="190"/>
        <v>#DIV/0!</v>
      </c>
      <c r="Q83" s="397">
        <f t="shared" si="191"/>
        <v>0</v>
      </c>
      <c r="R83" s="397" t="e">
        <f t="shared" si="175"/>
        <v>#DIV/0!</v>
      </c>
      <c r="S83" s="397" t="e">
        <f t="shared" si="176"/>
        <v>#DIV/0!</v>
      </c>
      <c r="T83" s="397" t="e">
        <f t="shared" si="177"/>
        <v>#DIV/0!</v>
      </c>
    </row>
    <row r="84" spans="1:20" x14ac:dyDescent="0.15">
      <c r="A84" s="382" t="str">
        <f t="shared" si="178"/>
        <v>Thread 10</v>
      </c>
      <c r="B84" s="397" t="e">
        <f t="shared" ref="B84:B89" si="192">D61</f>
        <v>#DIV/0!</v>
      </c>
      <c r="C84" s="397" t="e">
        <f t="shared" ref="C84:C89" si="193">C61-D61</f>
        <v>#DIV/0!</v>
      </c>
      <c r="D84" s="397" t="e">
        <f t="shared" ref="D84:D89" si="194">N61</f>
        <v>#DIV/0!</v>
      </c>
      <c r="E84" s="397" t="e">
        <f t="shared" si="182"/>
        <v>#DIV/0!</v>
      </c>
      <c r="F84" s="397" t="e">
        <f t="shared" si="172"/>
        <v>#DIV/0!</v>
      </c>
      <c r="G84" s="397" t="e">
        <f t="shared" si="173"/>
        <v>#DIV/0!</v>
      </c>
      <c r="H84" s="397" t="e">
        <f t="shared" ref="H84:H89" si="195">K61-O61</f>
        <v>#DIV/0!</v>
      </c>
      <c r="I84" s="397" t="e">
        <f t="shared" ref="I84:I89" si="196">O61</f>
        <v>#DIV/0!</v>
      </c>
      <c r="J84" s="397" t="e">
        <f t="shared" ref="J84:J89" si="197">L61</f>
        <v>#DIV/0!</v>
      </c>
      <c r="K84" s="397" t="e">
        <f t="shared" si="186"/>
        <v>#DIV/0!</v>
      </c>
      <c r="L84" s="397" t="e">
        <f t="shared" si="187"/>
        <v>#DIV/0!</v>
      </c>
      <c r="M84" s="397" t="e">
        <f t="shared" ref="M84:M89" si="198">AD61-I61</f>
        <v>#DIV/0!</v>
      </c>
      <c r="N84" s="397" t="e">
        <f t="shared" si="174"/>
        <v>#DIV/0!</v>
      </c>
      <c r="O84" s="397" t="e">
        <f t="shared" ref="O84:O89" si="199">X61</f>
        <v>#DIV/0!</v>
      </c>
      <c r="P84" s="397" t="e">
        <f t="shared" ref="P84:P89" si="200">R61</f>
        <v>#DIV/0!</v>
      </c>
      <c r="Q84" s="397">
        <f t="shared" si="191"/>
        <v>0</v>
      </c>
      <c r="R84" s="397" t="e">
        <f t="shared" si="175"/>
        <v>#DIV/0!</v>
      </c>
      <c r="S84" s="397" t="e">
        <f t="shared" si="176"/>
        <v>#DIV/0!</v>
      </c>
      <c r="T84" s="397" t="e">
        <f t="shared" si="177"/>
        <v>#DIV/0!</v>
      </c>
    </row>
    <row r="85" spans="1:20" x14ac:dyDescent="0.15">
      <c r="A85" s="382" t="str">
        <f t="shared" si="178"/>
        <v>Thread 11</v>
      </c>
      <c r="B85" s="397" t="e">
        <f t="shared" si="192"/>
        <v>#DIV/0!</v>
      </c>
      <c r="C85" s="397" t="e">
        <f t="shared" si="193"/>
        <v>#DIV/0!</v>
      </c>
      <c r="D85" s="397" t="e">
        <f t="shared" si="194"/>
        <v>#DIV/0!</v>
      </c>
      <c r="E85" s="397" t="e">
        <f t="shared" si="182"/>
        <v>#DIV/0!</v>
      </c>
      <c r="F85" s="397" t="e">
        <f t="shared" si="172"/>
        <v>#DIV/0!</v>
      </c>
      <c r="G85" s="397" t="e">
        <f t="shared" si="173"/>
        <v>#DIV/0!</v>
      </c>
      <c r="H85" s="397" t="e">
        <f t="shared" si="195"/>
        <v>#DIV/0!</v>
      </c>
      <c r="I85" s="397" t="e">
        <f t="shared" si="196"/>
        <v>#DIV/0!</v>
      </c>
      <c r="J85" s="397" t="e">
        <f t="shared" si="197"/>
        <v>#DIV/0!</v>
      </c>
      <c r="K85" s="397" t="e">
        <f t="shared" si="186"/>
        <v>#DIV/0!</v>
      </c>
      <c r="L85" s="397" t="e">
        <f t="shared" si="187"/>
        <v>#DIV/0!</v>
      </c>
      <c r="M85" s="397" t="e">
        <f t="shared" si="198"/>
        <v>#DIV/0!</v>
      </c>
      <c r="N85" s="397" t="e">
        <f t="shared" si="174"/>
        <v>#DIV/0!</v>
      </c>
      <c r="O85" s="397" t="e">
        <f t="shared" si="199"/>
        <v>#DIV/0!</v>
      </c>
      <c r="P85" s="397" t="e">
        <f t="shared" si="200"/>
        <v>#DIV/0!</v>
      </c>
      <c r="Q85" s="397">
        <f t="shared" si="191"/>
        <v>0</v>
      </c>
      <c r="R85" s="397" t="e">
        <f t="shared" si="175"/>
        <v>#DIV/0!</v>
      </c>
      <c r="S85" s="397" t="e">
        <f t="shared" si="176"/>
        <v>#DIV/0!</v>
      </c>
      <c r="T85" s="397" t="e">
        <f t="shared" si="177"/>
        <v>#DIV/0!</v>
      </c>
    </row>
    <row r="86" spans="1:20" x14ac:dyDescent="0.15">
      <c r="A86" s="382" t="str">
        <f t="shared" si="178"/>
        <v>Thread 12</v>
      </c>
      <c r="B86" s="397" t="e">
        <f t="shared" si="192"/>
        <v>#DIV/0!</v>
      </c>
      <c r="C86" s="397" t="e">
        <f t="shared" si="193"/>
        <v>#DIV/0!</v>
      </c>
      <c r="D86" s="397" t="e">
        <f t="shared" si="194"/>
        <v>#DIV/0!</v>
      </c>
      <c r="E86" s="397" t="e">
        <f t="shared" si="182"/>
        <v>#DIV/0!</v>
      </c>
      <c r="F86" s="397" t="e">
        <f t="shared" si="172"/>
        <v>#DIV/0!</v>
      </c>
      <c r="G86" s="397" t="e">
        <f t="shared" si="173"/>
        <v>#DIV/0!</v>
      </c>
      <c r="H86" s="397" t="e">
        <f t="shared" si="195"/>
        <v>#DIV/0!</v>
      </c>
      <c r="I86" s="397" t="e">
        <f t="shared" si="196"/>
        <v>#DIV/0!</v>
      </c>
      <c r="J86" s="397" t="e">
        <f t="shared" si="197"/>
        <v>#DIV/0!</v>
      </c>
      <c r="K86" s="397" t="e">
        <f t="shared" si="186"/>
        <v>#DIV/0!</v>
      </c>
      <c r="L86" s="397" t="e">
        <f t="shared" si="187"/>
        <v>#DIV/0!</v>
      </c>
      <c r="M86" s="397" t="e">
        <f t="shared" si="198"/>
        <v>#DIV/0!</v>
      </c>
      <c r="N86" s="397" t="e">
        <f t="shared" si="174"/>
        <v>#DIV/0!</v>
      </c>
      <c r="O86" s="397" t="e">
        <f t="shared" si="199"/>
        <v>#DIV/0!</v>
      </c>
      <c r="P86" s="397" t="e">
        <f t="shared" si="200"/>
        <v>#DIV/0!</v>
      </c>
      <c r="Q86" s="397">
        <f t="shared" si="191"/>
        <v>0</v>
      </c>
      <c r="R86" s="397" t="e">
        <f t="shared" si="175"/>
        <v>#DIV/0!</v>
      </c>
      <c r="S86" s="397" t="e">
        <f t="shared" si="176"/>
        <v>#DIV/0!</v>
      </c>
      <c r="T86" s="397" t="e">
        <f t="shared" si="177"/>
        <v>#DIV/0!</v>
      </c>
    </row>
    <row r="87" spans="1:20" x14ac:dyDescent="0.15">
      <c r="A87" s="382" t="str">
        <f t="shared" si="178"/>
        <v>Thread 13</v>
      </c>
      <c r="B87" s="397" t="e">
        <f t="shared" si="192"/>
        <v>#DIV/0!</v>
      </c>
      <c r="C87" s="397" t="e">
        <f t="shared" si="193"/>
        <v>#DIV/0!</v>
      </c>
      <c r="D87" s="397" t="e">
        <f t="shared" si="194"/>
        <v>#DIV/0!</v>
      </c>
      <c r="E87" s="397" t="e">
        <f t="shared" si="182"/>
        <v>#DIV/0!</v>
      </c>
      <c r="F87" s="397" t="e">
        <f t="shared" si="172"/>
        <v>#DIV/0!</v>
      </c>
      <c r="G87" s="397" t="e">
        <f t="shared" si="173"/>
        <v>#DIV/0!</v>
      </c>
      <c r="H87" s="397" t="e">
        <f t="shared" si="195"/>
        <v>#DIV/0!</v>
      </c>
      <c r="I87" s="397" t="e">
        <f t="shared" si="196"/>
        <v>#DIV/0!</v>
      </c>
      <c r="J87" s="397" t="e">
        <f t="shared" si="197"/>
        <v>#DIV/0!</v>
      </c>
      <c r="K87" s="397" t="e">
        <f t="shared" si="186"/>
        <v>#DIV/0!</v>
      </c>
      <c r="L87" s="397" t="e">
        <f t="shared" si="187"/>
        <v>#DIV/0!</v>
      </c>
      <c r="M87" s="397" t="e">
        <f t="shared" si="198"/>
        <v>#DIV/0!</v>
      </c>
      <c r="N87" s="397" t="e">
        <f t="shared" si="174"/>
        <v>#DIV/0!</v>
      </c>
      <c r="O87" s="397" t="e">
        <f t="shared" si="199"/>
        <v>#DIV/0!</v>
      </c>
      <c r="P87" s="397" t="e">
        <f t="shared" si="200"/>
        <v>#DIV/0!</v>
      </c>
      <c r="Q87" s="397">
        <f t="shared" si="191"/>
        <v>0</v>
      </c>
      <c r="R87" s="397" t="e">
        <f t="shared" si="175"/>
        <v>#DIV/0!</v>
      </c>
      <c r="S87" s="397" t="e">
        <f t="shared" si="176"/>
        <v>#DIV/0!</v>
      </c>
      <c r="T87" s="397" t="e">
        <f t="shared" si="177"/>
        <v>#DIV/0!</v>
      </c>
    </row>
    <row r="88" spans="1:20" x14ac:dyDescent="0.15">
      <c r="A88" s="382" t="str">
        <f t="shared" si="178"/>
        <v>Thread 14</v>
      </c>
      <c r="B88" s="397" t="e">
        <f t="shared" si="192"/>
        <v>#DIV/0!</v>
      </c>
      <c r="C88" s="397" t="e">
        <f t="shared" si="193"/>
        <v>#DIV/0!</v>
      </c>
      <c r="D88" s="397" t="e">
        <f t="shared" si="194"/>
        <v>#DIV/0!</v>
      </c>
      <c r="E88" s="397" t="e">
        <f t="shared" si="182"/>
        <v>#DIV/0!</v>
      </c>
      <c r="F88" s="397" t="e">
        <f t="shared" si="172"/>
        <v>#DIV/0!</v>
      </c>
      <c r="G88" s="397" t="e">
        <f t="shared" si="173"/>
        <v>#DIV/0!</v>
      </c>
      <c r="H88" s="397" t="e">
        <f t="shared" si="195"/>
        <v>#DIV/0!</v>
      </c>
      <c r="I88" s="397" t="e">
        <f t="shared" si="196"/>
        <v>#DIV/0!</v>
      </c>
      <c r="J88" s="397" t="e">
        <f t="shared" si="197"/>
        <v>#DIV/0!</v>
      </c>
      <c r="K88" s="397" t="e">
        <f t="shared" si="186"/>
        <v>#DIV/0!</v>
      </c>
      <c r="L88" s="397" t="e">
        <f t="shared" si="187"/>
        <v>#DIV/0!</v>
      </c>
      <c r="M88" s="397" t="e">
        <f t="shared" si="198"/>
        <v>#DIV/0!</v>
      </c>
      <c r="N88" s="397" t="e">
        <f t="shared" si="174"/>
        <v>#DIV/0!</v>
      </c>
      <c r="O88" s="397" t="e">
        <f t="shared" si="199"/>
        <v>#DIV/0!</v>
      </c>
      <c r="P88" s="397" t="e">
        <f t="shared" si="200"/>
        <v>#DIV/0!</v>
      </c>
      <c r="Q88" s="397">
        <f t="shared" si="191"/>
        <v>0</v>
      </c>
      <c r="R88" s="397" t="e">
        <f t="shared" si="175"/>
        <v>#DIV/0!</v>
      </c>
      <c r="S88" s="397" t="e">
        <f t="shared" si="176"/>
        <v>#DIV/0!</v>
      </c>
      <c r="T88" s="397" t="e">
        <f t="shared" si="177"/>
        <v>#DIV/0!</v>
      </c>
    </row>
    <row r="89" spans="1:20" x14ac:dyDescent="0.15">
      <c r="A89" s="382" t="str">
        <f t="shared" si="178"/>
        <v>Thread 15</v>
      </c>
      <c r="B89" s="397" t="e">
        <f t="shared" si="192"/>
        <v>#DIV/0!</v>
      </c>
      <c r="C89" s="397" t="e">
        <f t="shared" si="193"/>
        <v>#DIV/0!</v>
      </c>
      <c r="D89" s="397" t="e">
        <f t="shared" si="194"/>
        <v>#DIV/0!</v>
      </c>
      <c r="E89" s="397" t="e">
        <f t="shared" si="182"/>
        <v>#DIV/0!</v>
      </c>
      <c r="F89" s="397" t="e">
        <f t="shared" si="172"/>
        <v>#DIV/0!</v>
      </c>
      <c r="G89" s="397" t="e">
        <f t="shared" si="173"/>
        <v>#DIV/0!</v>
      </c>
      <c r="H89" s="397" t="e">
        <f t="shared" si="195"/>
        <v>#DIV/0!</v>
      </c>
      <c r="I89" s="397" t="e">
        <f t="shared" si="196"/>
        <v>#DIV/0!</v>
      </c>
      <c r="J89" s="397" t="e">
        <f t="shared" si="197"/>
        <v>#DIV/0!</v>
      </c>
      <c r="K89" s="397" t="e">
        <f t="shared" si="186"/>
        <v>#DIV/0!</v>
      </c>
      <c r="L89" s="397" t="e">
        <f t="shared" si="187"/>
        <v>#DIV/0!</v>
      </c>
      <c r="M89" s="397" t="e">
        <f t="shared" si="198"/>
        <v>#DIV/0!</v>
      </c>
      <c r="N89" s="397" t="e">
        <f t="shared" si="174"/>
        <v>#DIV/0!</v>
      </c>
      <c r="O89" s="397" t="e">
        <f t="shared" si="199"/>
        <v>#DIV/0!</v>
      </c>
      <c r="P89" s="397" t="e">
        <f t="shared" si="200"/>
        <v>#DIV/0!</v>
      </c>
      <c r="Q89" s="397">
        <f t="shared" si="191"/>
        <v>0</v>
      </c>
      <c r="R89" s="397" t="e">
        <f t="shared" si="175"/>
        <v>#DIV/0!</v>
      </c>
      <c r="S89" s="397" t="e">
        <f t="shared" si="176"/>
        <v>#DIV/0!</v>
      </c>
      <c r="T89" s="397" t="e">
        <f t="shared" si="177"/>
        <v>#DIV/0!</v>
      </c>
    </row>
    <row r="90" spans="1:20" x14ac:dyDescent="0.15">
      <c r="A90" s="382" t="str">
        <f t="shared" si="178"/>
        <v>◆バリア同期待ち最少スレッド</v>
      </c>
      <c r="B90" s="397" t="e">
        <f>D67</f>
        <v>#DIV/0!</v>
      </c>
      <c r="C90" s="397" t="e">
        <f>C67-D67</f>
        <v>#DIV/0!</v>
      </c>
      <c r="D90" s="397" t="e">
        <f>N67</f>
        <v>#DIV/0!</v>
      </c>
      <c r="E90" s="397" t="e">
        <f t="shared" si="182"/>
        <v>#DIV/0!</v>
      </c>
      <c r="F90" s="397" t="e">
        <f t="shared" si="172"/>
        <v>#DIV/0!</v>
      </c>
      <c r="G90" s="397" t="e">
        <f t="shared" si="173"/>
        <v>#DIV/0!</v>
      </c>
      <c r="H90" s="397" t="e">
        <f>K67-O67</f>
        <v>#DIV/0!</v>
      </c>
      <c r="I90" s="397" t="e">
        <f>O67</f>
        <v>#DIV/0!</v>
      </c>
      <c r="J90" s="397" t="e">
        <f>L67</f>
        <v>#DIV/0!</v>
      </c>
      <c r="K90" s="397" t="e">
        <f t="shared" si="186"/>
        <v>#DIV/0!</v>
      </c>
      <c r="L90" s="397" t="e">
        <f t="shared" si="187"/>
        <v>#DIV/0!</v>
      </c>
      <c r="M90" s="397" t="e">
        <f>AD67-I67</f>
        <v>#DIV/0!</v>
      </c>
      <c r="N90" s="397" t="e">
        <f t="shared" si="174"/>
        <v>#DIV/0!</v>
      </c>
      <c r="O90" s="397" t="e">
        <f>X67</f>
        <v>#DIV/0!</v>
      </c>
      <c r="P90" s="397" t="e">
        <f>R67</f>
        <v>#DIV/0!</v>
      </c>
      <c r="Q90" s="397">
        <f t="shared" si="191"/>
        <v>0</v>
      </c>
      <c r="R90" s="397" t="e">
        <f t="shared" si="175"/>
        <v>#DIV/0!</v>
      </c>
      <c r="S90" s="397" t="e">
        <f t="shared" si="176"/>
        <v>#DIV/0!</v>
      </c>
      <c r="T90" s="397" t="e">
        <f t="shared" si="177"/>
        <v>#DIV/0!</v>
      </c>
    </row>
    <row r="91" spans="1:20" x14ac:dyDescent="0.15">
      <c r="A91" s="382" t="e">
        <f t="shared" si="178"/>
        <v>#N/A</v>
      </c>
      <c r="B91" s="397" t="e">
        <f>D68</f>
        <v>#N/A</v>
      </c>
      <c r="C91" s="397" t="e">
        <f>C68-D68</f>
        <v>#N/A</v>
      </c>
      <c r="D91" s="397" t="e">
        <f>N68</f>
        <v>#N/A</v>
      </c>
      <c r="E91" s="397" t="e">
        <f t="shared" si="182"/>
        <v>#N/A</v>
      </c>
      <c r="F91" s="397" t="e">
        <f t="shared" si="172"/>
        <v>#N/A</v>
      </c>
      <c r="G91" s="397" t="e">
        <f t="shared" si="173"/>
        <v>#N/A</v>
      </c>
      <c r="H91" s="397" t="e">
        <f>K68-O68</f>
        <v>#N/A</v>
      </c>
      <c r="I91" s="397" t="e">
        <f>O68</f>
        <v>#N/A</v>
      </c>
      <c r="J91" s="397" t="e">
        <f>L68</f>
        <v>#N/A</v>
      </c>
      <c r="K91" s="397" t="e">
        <f t="shared" si="186"/>
        <v>#N/A</v>
      </c>
      <c r="L91" s="397" t="e">
        <f t="shared" si="187"/>
        <v>#N/A</v>
      </c>
      <c r="M91" s="397" t="e">
        <f>AD68-I68</f>
        <v>#N/A</v>
      </c>
      <c r="N91" s="397" t="e">
        <f t="shared" si="174"/>
        <v>#N/A</v>
      </c>
      <c r="O91" s="397" t="e">
        <f>X68</f>
        <v>#N/A</v>
      </c>
      <c r="P91" s="397" t="e">
        <f>R68</f>
        <v>#N/A</v>
      </c>
      <c r="Q91" s="397">
        <f t="shared" si="191"/>
        <v>0</v>
      </c>
      <c r="R91" s="397" t="e">
        <f t="shared" si="175"/>
        <v>#N/A</v>
      </c>
      <c r="S91" s="397" t="e">
        <f t="shared" si="176"/>
        <v>#N/A</v>
      </c>
      <c r="T91" s="397" t="e">
        <f t="shared" si="177"/>
        <v>#N/A</v>
      </c>
    </row>
    <row r="92" spans="1:20" x14ac:dyDescent="0.15">
      <c r="A92" s="382">
        <f t="shared" si="178"/>
        <v>0</v>
      </c>
      <c r="B92" s="397" t="e">
        <f>D69</f>
        <v>#DIV/0!</v>
      </c>
      <c r="C92" s="397" t="e">
        <f>C69-D69</f>
        <v>#DIV/0!</v>
      </c>
      <c r="D92" s="397" t="e">
        <f>N69</f>
        <v>#DIV/0!</v>
      </c>
      <c r="E92" s="397" t="e">
        <f t="shared" si="182"/>
        <v>#DIV/0!</v>
      </c>
      <c r="F92" s="397" t="e">
        <f t="shared" si="172"/>
        <v>#DIV/0!</v>
      </c>
      <c r="G92" s="397" t="e">
        <f t="shared" si="173"/>
        <v>#DIV/0!</v>
      </c>
      <c r="H92" s="397" t="e">
        <f>K69-O69</f>
        <v>#DIV/0!</v>
      </c>
      <c r="I92" s="397" t="e">
        <f>O69</f>
        <v>#DIV/0!</v>
      </c>
      <c r="J92" s="397" t="e">
        <f>L69</f>
        <v>#DIV/0!</v>
      </c>
      <c r="K92" s="397" t="e">
        <f t="shared" si="186"/>
        <v>#DIV/0!</v>
      </c>
      <c r="L92" s="397" t="e">
        <f t="shared" si="187"/>
        <v>#DIV/0!</v>
      </c>
      <c r="M92" s="397" t="e">
        <f>AD69-I69</f>
        <v>#DIV/0!</v>
      </c>
      <c r="N92" s="397" t="e">
        <f t="shared" si="174"/>
        <v>#DIV/0!</v>
      </c>
      <c r="O92" s="397" t="e">
        <f>X69</f>
        <v>#DIV/0!</v>
      </c>
      <c r="P92" s="397" t="e">
        <f>R69</f>
        <v>#DIV/0!</v>
      </c>
      <c r="Q92" s="397">
        <f t="shared" si="191"/>
        <v>0</v>
      </c>
      <c r="R92" s="397" t="e">
        <f t="shared" si="175"/>
        <v>#DIV/0!</v>
      </c>
      <c r="S92" s="397" t="e">
        <f t="shared" si="176"/>
        <v>#DIV/0!</v>
      </c>
      <c r="T92" s="397" t="e">
        <f t="shared" si="177"/>
        <v>#DIV/0!</v>
      </c>
    </row>
    <row r="93" spans="1:20" x14ac:dyDescent="0.15">
      <c r="A93" s="382">
        <f t="shared" si="178"/>
        <v>0</v>
      </c>
      <c r="B93" s="397" t="e">
        <f>D70</f>
        <v>#DIV/0!</v>
      </c>
      <c r="C93" s="397" t="e">
        <f>C70-D70</f>
        <v>#DIV/0!</v>
      </c>
      <c r="D93" s="397" t="e">
        <f>N70</f>
        <v>#DIV/0!</v>
      </c>
      <c r="E93" s="397" t="e">
        <f t="shared" si="182"/>
        <v>#DIV/0!</v>
      </c>
      <c r="F93" s="397" t="e">
        <f t="shared" si="172"/>
        <v>#DIV/0!</v>
      </c>
      <c r="G93" s="397" t="e">
        <f t="shared" si="173"/>
        <v>#DIV/0!</v>
      </c>
      <c r="H93" s="397" t="e">
        <f>K70-O70</f>
        <v>#DIV/0!</v>
      </c>
      <c r="I93" s="397" t="e">
        <f>O70</f>
        <v>#DIV/0!</v>
      </c>
      <c r="J93" s="397" t="e">
        <f>L70</f>
        <v>#DIV/0!</v>
      </c>
      <c r="K93" s="397" t="e">
        <f t="shared" si="186"/>
        <v>#DIV/0!</v>
      </c>
      <c r="L93" s="397" t="e">
        <f t="shared" si="187"/>
        <v>#DIV/0!</v>
      </c>
      <c r="M93" s="397" t="e">
        <f>AD70-I70</f>
        <v>#DIV/0!</v>
      </c>
      <c r="N93" s="397" t="e">
        <f t="shared" si="174"/>
        <v>#DIV/0!</v>
      </c>
      <c r="O93" s="397" t="e">
        <f>X70</f>
        <v>#DIV/0!</v>
      </c>
      <c r="P93" s="397" t="e">
        <f>R70</f>
        <v>#DIV/0!</v>
      </c>
      <c r="Q93" s="397">
        <f t="shared" si="191"/>
        <v>0</v>
      </c>
      <c r="R93" s="397" t="e">
        <f t="shared" si="175"/>
        <v>#DIV/0!</v>
      </c>
      <c r="S93" s="397" t="e">
        <f t="shared" si="176"/>
        <v>#DIV/0!</v>
      </c>
      <c r="T93" s="397" t="e">
        <f t="shared" si="177"/>
        <v>#DIV/0!</v>
      </c>
    </row>
    <row r="94" spans="1:20" x14ac:dyDescent="0.15">
      <c r="A94" s="387"/>
      <c r="B94" s="398"/>
      <c r="C94" s="398"/>
      <c r="D94" s="398"/>
      <c r="E94" s="398"/>
      <c r="F94" s="398"/>
      <c r="G94" s="386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</row>
    <row r="95" spans="1:20" x14ac:dyDescent="0.15">
      <c r="A95" s="387"/>
      <c r="B95" s="398"/>
      <c r="C95" s="398"/>
      <c r="D95" s="398"/>
      <c r="E95" s="398"/>
      <c r="F95" s="398"/>
      <c r="G95" s="386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</row>
    <row r="96" spans="1:20" s="399" customFormat="1" x14ac:dyDescent="0.15">
      <c r="A96" s="398"/>
      <c r="B96" s="398"/>
      <c r="C96" s="398"/>
      <c r="D96" s="39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</row>
    <row r="97" spans="1:57" x14ac:dyDescent="0.15">
      <c r="A97" s="388" t="s">
        <v>41</v>
      </c>
      <c r="B97" s="376"/>
      <c r="J97" s="348"/>
    </row>
    <row r="98" spans="1:57" s="389" customFormat="1" x14ac:dyDescent="0.15">
      <c r="A98" s="208"/>
      <c r="B98" s="207" t="str">
        <f>B2</f>
        <v>cycle_counts</v>
      </c>
      <c r="C98" s="207" t="str">
        <f t="shared" ref="C98:BE98" si="201">C2</f>
        <v>op_stv_wait_sxmiss</v>
      </c>
      <c r="D98" s="207" t="str">
        <f t="shared" si="201"/>
        <v>op_stv_wait_sxmiss_ex</v>
      </c>
      <c r="E98" s="207" t="str">
        <f t="shared" si="201"/>
        <v>op_stv_wait_nc_pend</v>
      </c>
      <c r="F98" s="207" t="str">
        <f t="shared" si="201"/>
        <v>op_stv_wait_ex</v>
      </c>
      <c r="G98" s="207" t="str">
        <f t="shared" si="201"/>
        <v>op_stv_wait</v>
      </c>
      <c r="H98" s="207" t="str">
        <f t="shared" si="201"/>
        <v>branch_instructions</v>
      </c>
      <c r="I98" s="207" t="str">
        <f t="shared" si="201"/>
        <v>efective_instruction_counts</v>
      </c>
      <c r="J98" s="207" t="str">
        <f t="shared" si="201"/>
        <v>cse_window_empty</v>
      </c>
      <c r="K98" s="207" t="str">
        <f t="shared" si="201"/>
        <v>eu_comp_wait</v>
      </c>
      <c r="L98" s="207" t="str">
        <f t="shared" si="201"/>
        <v>branch_comp_wait</v>
      </c>
      <c r="M98" s="207" t="str">
        <f t="shared" si="201"/>
        <v>load_store_instructions</v>
      </c>
      <c r="N98" s="207" t="str">
        <f t="shared" si="201"/>
        <v>cse_window_empty_sp_full</v>
      </c>
      <c r="O98" s="207" t="str">
        <f t="shared" si="201"/>
        <v>fl_comp_wait</v>
      </c>
      <c r="P98" s="207" t="str">
        <f t="shared" si="201"/>
        <v>sleep_cycle</v>
      </c>
      <c r="Q98" s="207" t="str">
        <f t="shared" si="201"/>
        <v>cycle_counts</v>
      </c>
      <c r="R98" s="207" t="str">
        <f t="shared" si="201"/>
        <v>inh_cmit_gpr_2write</v>
      </c>
      <c r="S98" s="207" t="str">
        <f t="shared" si="201"/>
        <v>floating_instructions</v>
      </c>
      <c r="T98" s="207" t="str">
        <f t="shared" si="201"/>
        <v>fma_instructions</v>
      </c>
      <c r="U98" s="207" t="str">
        <f t="shared" si="201"/>
        <v>0endop</v>
      </c>
      <c r="V98" s="207" t="str">
        <f t="shared" si="201"/>
        <v>3endop</v>
      </c>
      <c r="W98" s="207" t="str">
        <f t="shared" si="201"/>
        <v>cycle_counts</v>
      </c>
      <c r="X98" s="207" t="str">
        <f t="shared" si="201"/>
        <v>1endop</v>
      </c>
      <c r="Y98" s="207" t="str">
        <f t="shared" si="201"/>
        <v>2endop</v>
      </c>
      <c r="Z98" s="207" t="str">
        <f t="shared" si="201"/>
        <v>cycle_counts</v>
      </c>
      <c r="AA98" s="207" t="str">
        <f t="shared" si="201"/>
        <v>prefetch_instructions</v>
      </c>
      <c r="AB98" s="207" t="str">
        <f t="shared" si="201"/>
        <v>L2_miss_dm</v>
      </c>
      <c r="AC98" s="207" t="str">
        <f t="shared" si="201"/>
        <v>L2_miss_pf</v>
      </c>
      <c r="AD98" s="207" t="str">
        <f t="shared" si="201"/>
        <v>instruction_flow_counts</v>
      </c>
      <c r="AE98" s="207" t="str">
        <f t="shared" si="201"/>
        <v>L1D_miss</v>
      </c>
      <c r="AF98" s="207" t="str">
        <f t="shared" si="201"/>
        <v>L2_wb_dm</v>
      </c>
      <c r="AG98" s="207" t="str">
        <f t="shared" si="201"/>
        <v>L2_wb_pf</v>
      </c>
      <c r="AH98" s="207" t="str">
        <f t="shared" si="201"/>
        <v>SIMD_load_store_instructions</v>
      </c>
      <c r="AI98" s="207" t="str">
        <f t="shared" si="201"/>
        <v>SIMD_floating_instructions</v>
      </c>
      <c r="AJ98" s="207" t="str">
        <f t="shared" si="201"/>
        <v>SIMD_fma_instructions</v>
      </c>
      <c r="AK98" s="207" t="str">
        <f t="shared" si="201"/>
        <v>uDTLB_miss</v>
      </c>
      <c r="AL98" s="207" t="str">
        <f t="shared" si="201"/>
        <v>cycle_counts</v>
      </c>
      <c r="AM98" s="207" t="str">
        <f t="shared" si="201"/>
        <v>SIMD_fl_load_instructions</v>
      </c>
      <c r="AN98" s="207" t="str">
        <f t="shared" si="201"/>
        <v>SIMD_fl_store_instructions</v>
      </c>
      <c r="AO98" s="207" t="str">
        <f t="shared" si="201"/>
        <v>trap_DMMU_miss</v>
      </c>
      <c r="AP98" s="207" t="str">
        <f t="shared" si="201"/>
        <v>cycle_counts</v>
      </c>
      <c r="AQ98" s="207" t="str">
        <f t="shared" si="201"/>
        <v>ex_load_instructions</v>
      </c>
      <c r="AR98" s="207" t="str">
        <f t="shared" si="201"/>
        <v>ex_store_instructions</v>
      </c>
      <c r="AS98" s="207" t="str">
        <f t="shared" si="201"/>
        <v>fl_load_instructions</v>
      </c>
      <c r="AT98" s="207" t="str">
        <f t="shared" si="201"/>
        <v>fl_store_instructions</v>
      </c>
      <c r="AU98" s="207" t="str">
        <f t="shared" si="201"/>
        <v>L1D_miss_dm</v>
      </c>
      <c r="AV98" s="207" t="str">
        <f t="shared" si="201"/>
        <v>L1D_miss_pf</v>
      </c>
      <c r="AW98" s="207" t="str">
        <f t="shared" si="201"/>
        <v>L1D_miss_qpf</v>
      </c>
      <c r="AX98" s="207" t="str">
        <f>AX2</f>
        <v>uITLB_miss2</v>
      </c>
      <c r="AY98" s="207" t="str">
        <f>AY2</f>
        <v>uDTLB_miss2</v>
      </c>
      <c r="AZ98" s="207" t="str">
        <f t="shared" si="201"/>
        <v>single_sxar_commit</v>
      </c>
      <c r="BA98" s="207" t="str">
        <f>BA2</f>
        <v>cycle_counts</v>
      </c>
      <c r="BB98" s="207" t="str">
        <f t="shared" si="201"/>
        <v>L1I_miss</v>
      </c>
      <c r="BC98" s="207" t="str">
        <f t="shared" si="201"/>
        <v>unpack_sxar1</v>
      </c>
      <c r="BD98" s="207" t="str">
        <f t="shared" si="201"/>
        <v>unpack_sxar2</v>
      </c>
      <c r="BE98" s="207" t="str">
        <f t="shared" si="201"/>
        <v>op_stv_wait_swpf</v>
      </c>
    </row>
    <row r="99" spans="1:57" s="209" customFormat="1" x14ac:dyDescent="0.15">
      <c r="A99" s="382" t="str">
        <f>A74</f>
        <v>Thread 0</v>
      </c>
      <c r="B99" s="383">
        <f t="shared" ref="B99:AG99" si="202">B3/$B$1/1000000000</f>
        <v>0</v>
      </c>
      <c r="C99" s="383">
        <f t="shared" si="202"/>
        <v>0</v>
      </c>
      <c r="D99" s="383">
        <f t="shared" si="202"/>
        <v>0</v>
      </c>
      <c r="E99" s="383">
        <f t="shared" si="202"/>
        <v>0</v>
      </c>
      <c r="F99" s="383">
        <f t="shared" si="202"/>
        <v>0</v>
      </c>
      <c r="G99" s="383">
        <f t="shared" si="202"/>
        <v>0</v>
      </c>
      <c r="H99" s="383">
        <f t="shared" si="202"/>
        <v>0</v>
      </c>
      <c r="I99" s="383">
        <f t="shared" si="202"/>
        <v>0</v>
      </c>
      <c r="J99" s="383">
        <f t="shared" si="202"/>
        <v>0</v>
      </c>
      <c r="K99" s="383">
        <f t="shared" si="202"/>
        <v>0</v>
      </c>
      <c r="L99" s="383">
        <f t="shared" si="202"/>
        <v>0</v>
      </c>
      <c r="M99" s="383">
        <f t="shared" si="202"/>
        <v>0</v>
      </c>
      <c r="N99" s="383">
        <f t="shared" si="202"/>
        <v>0</v>
      </c>
      <c r="O99" s="383">
        <f t="shared" si="202"/>
        <v>0</v>
      </c>
      <c r="P99" s="383">
        <f t="shared" si="202"/>
        <v>0</v>
      </c>
      <c r="Q99" s="383">
        <f t="shared" si="202"/>
        <v>0</v>
      </c>
      <c r="R99" s="383">
        <f t="shared" si="202"/>
        <v>0</v>
      </c>
      <c r="S99" s="383">
        <f t="shared" si="202"/>
        <v>0</v>
      </c>
      <c r="T99" s="383">
        <f t="shared" si="202"/>
        <v>0</v>
      </c>
      <c r="U99" s="383">
        <f t="shared" si="202"/>
        <v>0</v>
      </c>
      <c r="V99" s="383">
        <f t="shared" si="202"/>
        <v>0</v>
      </c>
      <c r="W99" s="383">
        <f t="shared" si="202"/>
        <v>0</v>
      </c>
      <c r="X99" s="383">
        <f t="shared" si="202"/>
        <v>0</v>
      </c>
      <c r="Y99" s="383">
        <f t="shared" si="202"/>
        <v>0</v>
      </c>
      <c r="Z99" s="383">
        <f t="shared" si="202"/>
        <v>0</v>
      </c>
      <c r="AA99" s="383">
        <f t="shared" si="202"/>
        <v>0</v>
      </c>
      <c r="AB99" s="383">
        <f t="shared" si="202"/>
        <v>0</v>
      </c>
      <c r="AC99" s="383">
        <f t="shared" si="202"/>
        <v>0</v>
      </c>
      <c r="AD99" s="383">
        <f t="shared" si="202"/>
        <v>0</v>
      </c>
      <c r="AE99" s="383">
        <f t="shared" si="202"/>
        <v>0</v>
      </c>
      <c r="AF99" s="383">
        <f t="shared" si="202"/>
        <v>0</v>
      </c>
      <c r="AG99" s="383">
        <f t="shared" si="202"/>
        <v>0</v>
      </c>
      <c r="AH99" s="383">
        <f t="shared" ref="AH99:BE99" si="203">AH3/$B$1/1000000000</f>
        <v>0</v>
      </c>
      <c r="AI99" s="383">
        <f t="shared" si="203"/>
        <v>0</v>
      </c>
      <c r="AJ99" s="383">
        <f t="shared" si="203"/>
        <v>0</v>
      </c>
      <c r="AK99" s="383">
        <f t="shared" si="203"/>
        <v>0</v>
      </c>
      <c r="AL99" s="383">
        <f t="shared" si="203"/>
        <v>0</v>
      </c>
      <c r="AM99" s="383">
        <f t="shared" si="203"/>
        <v>0</v>
      </c>
      <c r="AN99" s="383">
        <f t="shared" si="203"/>
        <v>0</v>
      </c>
      <c r="AO99" s="383">
        <f t="shared" si="203"/>
        <v>0</v>
      </c>
      <c r="AP99" s="383">
        <f t="shared" si="203"/>
        <v>0</v>
      </c>
      <c r="AQ99" s="383">
        <f t="shared" si="203"/>
        <v>0</v>
      </c>
      <c r="AR99" s="383">
        <f t="shared" si="203"/>
        <v>0</v>
      </c>
      <c r="AS99" s="383">
        <f t="shared" si="203"/>
        <v>0</v>
      </c>
      <c r="AT99" s="383">
        <f t="shared" si="203"/>
        <v>0</v>
      </c>
      <c r="AU99" s="383">
        <f t="shared" si="203"/>
        <v>0</v>
      </c>
      <c r="AV99" s="383">
        <f t="shared" si="203"/>
        <v>0</v>
      </c>
      <c r="AW99" s="383">
        <f t="shared" si="203"/>
        <v>0</v>
      </c>
      <c r="AX99" s="383">
        <f t="shared" ref="AX99:AY118" si="204">AX3/$B$1/1000000000</f>
        <v>0</v>
      </c>
      <c r="AY99" s="383">
        <f t="shared" si="204"/>
        <v>0</v>
      </c>
      <c r="AZ99" s="383">
        <f t="shared" si="203"/>
        <v>0</v>
      </c>
      <c r="BA99" s="383">
        <f t="shared" ref="BA99:BA118" si="205">BA3/$B$1/1000000000</f>
        <v>0</v>
      </c>
      <c r="BB99" s="383">
        <f t="shared" si="203"/>
        <v>0</v>
      </c>
      <c r="BC99" s="383">
        <f t="shared" si="203"/>
        <v>0</v>
      </c>
      <c r="BD99" s="383">
        <f t="shared" si="203"/>
        <v>0</v>
      </c>
      <c r="BE99" s="383">
        <f t="shared" si="203"/>
        <v>0</v>
      </c>
    </row>
    <row r="100" spans="1:57" s="209" customFormat="1" x14ac:dyDescent="0.15">
      <c r="A100" s="382" t="str">
        <f t="shared" ref="A100:A118" si="206">A75</f>
        <v>Thread 1</v>
      </c>
      <c r="B100" s="383">
        <f t="shared" ref="B100:AG100" si="207">B4/$B$1/1000000000</f>
        <v>0</v>
      </c>
      <c r="C100" s="383">
        <f t="shared" si="207"/>
        <v>0</v>
      </c>
      <c r="D100" s="383">
        <f t="shared" si="207"/>
        <v>0</v>
      </c>
      <c r="E100" s="383">
        <f t="shared" si="207"/>
        <v>0</v>
      </c>
      <c r="F100" s="383">
        <f t="shared" si="207"/>
        <v>0</v>
      </c>
      <c r="G100" s="383">
        <f t="shared" si="207"/>
        <v>0</v>
      </c>
      <c r="H100" s="383">
        <f t="shared" si="207"/>
        <v>0</v>
      </c>
      <c r="I100" s="383">
        <f t="shared" si="207"/>
        <v>0</v>
      </c>
      <c r="J100" s="383">
        <f t="shared" si="207"/>
        <v>0</v>
      </c>
      <c r="K100" s="383">
        <f t="shared" si="207"/>
        <v>0</v>
      </c>
      <c r="L100" s="383">
        <f t="shared" si="207"/>
        <v>0</v>
      </c>
      <c r="M100" s="383">
        <f t="shared" si="207"/>
        <v>0</v>
      </c>
      <c r="N100" s="383">
        <f t="shared" si="207"/>
        <v>0</v>
      </c>
      <c r="O100" s="383">
        <f t="shared" si="207"/>
        <v>0</v>
      </c>
      <c r="P100" s="383">
        <f t="shared" si="207"/>
        <v>0</v>
      </c>
      <c r="Q100" s="383">
        <f t="shared" si="207"/>
        <v>0</v>
      </c>
      <c r="R100" s="383">
        <f t="shared" si="207"/>
        <v>0</v>
      </c>
      <c r="S100" s="383">
        <f t="shared" si="207"/>
        <v>0</v>
      </c>
      <c r="T100" s="383">
        <f t="shared" si="207"/>
        <v>0</v>
      </c>
      <c r="U100" s="383">
        <f t="shared" si="207"/>
        <v>0</v>
      </c>
      <c r="V100" s="383">
        <f t="shared" si="207"/>
        <v>0</v>
      </c>
      <c r="W100" s="383">
        <f t="shared" si="207"/>
        <v>0</v>
      </c>
      <c r="X100" s="383">
        <f t="shared" si="207"/>
        <v>0</v>
      </c>
      <c r="Y100" s="383">
        <f t="shared" si="207"/>
        <v>0</v>
      </c>
      <c r="Z100" s="383">
        <f t="shared" si="207"/>
        <v>0</v>
      </c>
      <c r="AA100" s="383">
        <f t="shared" si="207"/>
        <v>0</v>
      </c>
      <c r="AB100" s="383">
        <f t="shared" si="207"/>
        <v>0</v>
      </c>
      <c r="AC100" s="383">
        <f t="shared" si="207"/>
        <v>0</v>
      </c>
      <c r="AD100" s="383">
        <f t="shared" si="207"/>
        <v>0</v>
      </c>
      <c r="AE100" s="383">
        <f t="shared" si="207"/>
        <v>0</v>
      </c>
      <c r="AF100" s="383">
        <f t="shared" si="207"/>
        <v>0</v>
      </c>
      <c r="AG100" s="383">
        <f t="shared" si="207"/>
        <v>0</v>
      </c>
      <c r="AH100" s="383">
        <f t="shared" ref="AH100:BE100" si="208">AH4/$B$1/1000000000</f>
        <v>0</v>
      </c>
      <c r="AI100" s="383">
        <f t="shared" si="208"/>
        <v>0</v>
      </c>
      <c r="AJ100" s="383">
        <f t="shared" si="208"/>
        <v>0</v>
      </c>
      <c r="AK100" s="383">
        <f t="shared" si="208"/>
        <v>0</v>
      </c>
      <c r="AL100" s="383">
        <f t="shared" si="208"/>
        <v>0</v>
      </c>
      <c r="AM100" s="383">
        <f t="shared" si="208"/>
        <v>0</v>
      </c>
      <c r="AN100" s="383">
        <f t="shared" si="208"/>
        <v>0</v>
      </c>
      <c r="AO100" s="383">
        <f t="shared" si="208"/>
        <v>0</v>
      </c>
      <c r="AP100" s="383">
        <f t="shared" si="208"/>
        <v>0</v>
      </c>
      <c r="AQ100" s="383">
        <f t="shared" si="208"/>
        <v>0</v>
      </c>
      <c r="AR100" s="383">
        <f t="shared" si="208"/>
        <v>0</v>
      </c>
      <c r="AS100" s="383">
        <f t="shared" si="208"/>
        <v>0</v>
      </c>
      <c r="AT100" s="383">
        <f t="shared" si="208"/>
        <v>0</v>
      </c>
      <c r="AU100" s="383">
        <f t="shared" si="208"/>
        <v>0</v>
      </c>
      <c r="AV100" s="383">
        <f t="shared" si="208"/>
        <v>0</v>
      </c>
      <c r="AW100" s="383">
        <f t="shared" si="208"/>
        <v>0</v>
      </c>
      <c r="AX100" s="383">
        <f t="shared" si="204"/>
        <v>0</v>
      </c>
      <c r="AY100" s="383">
        <f t="shared" si="204"/>
        <v>0</v>
      </c>
      <c r="AZ100" s="383">
        <f t="shared" si="208"/>
        <v>0</v>
      </c>
      <c r="BA100" s="383">
        <f t="shared" si="205"/>
        <v>0</v>
      </c>
      <c r="BB100" s="383">
        <f t="shared" si="208"/>
        <v>0</v>
      </c>
      <c r="BC100" s="383">
        <f t="shared" si="208"/>
        <v>0</v>
      </c>
      <c r="BD100" s="383">
        <f t="shared" si="208"/>
        <v>0</v>
      </c>
      <c r="BE100" s="383">
        <f t="shared" si="208"/>
        <v>0</v>
      </c>
    </row>
    <row r="101" spans="1:57" s="209" customFormat="1" x14ac:dyDescent="0.15">
      <c r="A101" s="382" t="str">
        <f t="shared" si="206"/>
        <v>Thread 2</v>
      </c>
      <c r="B101" s="383">
        <f t="shared" ref="B101:AG101" si="209">B5/$B$1/1000000000</f>
        <v>0</v>
      </c>
      <c r="C101" s="383">
        <f t="shared" si="209"/>
        <v>0</v>
      </c>
      <c r="D101" s="383">
        <f t="shared" si="209"/>
        <v>0</v>
      </c>
      <c r="E101" s="383">
        <f t="shared" si="209"/>
        <v>0</v>
      </c>
      <c r="F101" s="383">
        <f t="shared" si="209"/>
        <v>0</v>
      </c>
      <c r="G101" s="383">
        <f t="shared" si="209"/>
        <v>0</v>
      </c>
      <c r="H101" s="383">
        <f t="shared" si="209"/>
        <v>0</v>
      </c>
      <c r="I101" s="383">
        <f t="shared" si="209"/>
        <v>0</v>
      </c>
      <c r="J101" s="383">
        <f t="shared" si="209"/>
        <v>0</v>
      </c>
      <c r="K101" s="383">
        <f t="shared" si="209"/>
        <v>0</v>
      </c>
      <c r="L101" s="383">
        <f t="shared" si="209"/>
        <v>0</v>
      </c>
      <c r="M101" s="383">
        <f t="shared" si="209"/>
        <v>0</v>
      </c>
      <c r="N101" s="383">
        <f t="shared" si="209"/>
        <v>0</v>
      </c>
      <c r="O101" s="383">
        <f t="shared" si="209"/>
        <v>0</v>
      </c>
      <c r="P101" s="383">
        <f t="shared" si="209"/>
        <v>0</v>
      </c>
      <c r="Q101" s="383">
        <f t="shared" si="209"/>
        <v>0</v>
      </c>
      <c r="R101" s="383">
        <f t="shared" si="209"/>
        <v>0</v>
      </c>
      <c r="S101" s="383">
        <f t="shared" si="209"/>
        <v>0</v>
      </c>
      <c r="T101" s="383">
        <f t="shared" si="209"/>
        <v>0</v>
      </c>
      <c r="U101" s="383">
        <f t="shared" si="209"/>
        <v>0</v>
      </c>
      <c r="V101" s="383">
        <f t="shared" si="209"/>
        <v>0</v>
      </c>
      <c r="W101" s="383">
        <f t="shared" si="209"/>
        <v>0</v>
      </c>
      <c r="X101" s="383">
        <f t="shared" si="209"/>
        <v>0</v>
      </c>
      <c r="Y101" s="383">
        <f t="shared" si="209"/>
        <v>0</v>
      </c>
      <c r="Z101" s="383">
        <f t="shared" si="209"/>
        <v>0</v>
      </c>
      <c r="AA101" s="383">
        <f t="shared" si="209"/>
        <v>0</v>
      </c>
      <c r="AB101" s="383">
        <f t="shared" si="209"/>
        <v>0</v>
      </c>
      <c r="AC101" s="383">
        <f t="shared" si="209"/>
        <v>0</v>
      </c>
      <c r="AD101" s="383">
        <f t="shared" si="209"/>
        <v>0</v>
      </c>
      <c r="AE101" s="383">
        <f t="shared" si="209"/>
        <v>0</v>
      </c>
      <c r="AF101" s="383">
        <f t="shared" si="209"/>
        <v>0</v>
      </c>
      <c r="AG101" s="383">
        <f t="shared" si="209"/>
        <v>0</v>
      </c>
      <c r="AH101" s="383">
        <f t="shared" ref="AH101:BE101" si="210">AH5/$B$1/1000000000</f>
        <v>0</v>
      </c>
      <c r="AI101" s="383">
        <f t="shared" si="210"/>
        <v>0</v>
      </c>
      <c r="AJ101" s="383">
        <f t="shared" si="210"/>
        <v>0</v>
      </c>
      <c r="AK101" s="383">
        <f t="shared" si="210"/>
        <v>0</v>
      </c>
      <c r="AL101" s="383">
        <f t="shared" si="210"/>
        <v>0</v>
      </c>
      <c r="AM101" s="383">
        <f t="shared" si="210"/>
        <v>0</v>
      </c>
      <c r="AN101" s="383">
        <f t="shared" si="210"/>
        <v>0</v>
      </c>
      <c r="AO101" s="383">
        <f t="shared" si="210"/>
        <v>0</v>
      </c>
      <c r="AP101" s="383">
        <f t="shared" si="210"/>
        <v>0</v>
      </c>
      <c r="AQ101" s="383">
        <f t="shared" si="210"/>
        <v>0</v>
      </c>
      <c r="AR101" s="383">
        <f t="shared" si="210"/>
        <v>0</v>
      </c>
      <c r="AS101" s="383">
        <f t="shared" si="210"/>
        <v>0</v>
      </c>
      <c r="AT101" s="383">
        <f t="shared" si="210"/>
        <v>0</v>
      </c>
      <c r="AU101" s="383">
        <f t="shared" si="210"/>
        <v>0</v>
      </c>
      <c r="AV101" s="383">
        <f t="shared" si="210"/>
        <v>0</v>
      </c>
      <c r="AW101" s="383">
        <f t="shared" si="210"/>
        <v>0</v>
      </c>
      <c r="AX101" s="383">
        <f t="shared" si="204"/>
        <v>0</v>
      </c>
      <c r="AY101" s="383">
        <f t="shared" si="204"/>
        <v>0</v>
      </c>
      <c r="AZ101" s="383">
        <f t="shared" si="210"/>
        <v>0</v>
      </c>
      <c r="BA101" s="383">
        <f t="shared" si="205"/>
        <v>0</v>
      </c>
      <c r="BB101" s="383">
        <f t="shared" si="210"/>
        <v>0</v>
      </c>
      <c r="BC101" s="383">
        <f t="shared" si="210"/>
        <v>0</v>
      </c>
      <c r="BD101" s="383">
        <f t="shared" si="210"/>
        <v>0</v>
      </c>
      <c r="BE101" s="383">
        <f t="shared" si="210"/>
        <v>0</v>
      </c>
    </row>
    <row r="102" spans="1:57" s="209" customFormat="1" x14ac:dyDescent="0.15">
      <c r="A102" s="382" t="str">
        <f t="shared" si="206"/>
        <v>Thread 3</v>
      </c>
      <c r="B102" s="383">
        <f t="shared" ref="B102:AG102" si="211">B6/$B$1/1000000000</f>
        <v>0</v>
      </c>
      <c r="C102" s="383">
        <f t="shared" si="211"/>
        <v>0</v>
      </c>
      <c r="D102" s="383">
        <f t="shared" si="211"/>
        <v>0</v>
      </c>
      <c r="E102" s="383">
        <f t="shared" si="211"/>
        <v>0</v>
      </c>
      <c r="F102" s="383">
        <f t="shared" si="211"/>
        <v>0</v>
      </c>
      <c r="G102" s="383">
        <f t="shared" si="211"/>
        <v>0</v>
      </c>
      <c r="H102" s="383">
        <f t="shared" si="211"/>
        <v>0</v>
      </c>
      <c r="I102" s="383">
        <f t="shared" si="211"/>
        <v>0</v>
      </c>
      <c r="J102" s="383">
        <f t="shared" si="211"/>
        <v>0</v>
      </c>
      <c r="K102" s="383">
        <f t="shared" si="211"/>
        <v>0</v>
      </c>
      <c r="L102" s="383">
        <f t="shared" si="211"/>
        <v>0</v>
      </c>
      <c r="M102" s="383">
        <f t="shared" si="211"/>
        <v>0</v>
      </c>
      <c r="N102" s="383">
        <f t="shared" si="211"/>
        <v>0</v>
      </c>
      <c r="O102" s="383">
        <f t="shared" si="211"/>
        <v>0</v>
      </c>
      <c r="P102" s="383">
        <f t="shared" si="211"/>
        <v>0</v>
      </c>
      <c r="Q102" s="383">
        <f t="shared" si="211"/>
        <v>0</v>
      </c>
      <c r="R102" s="383">
        <f t="shared" si="211"/>
        <v>0</v>
      </c>
      <c r="S102" s="383">
        <f t="shared" si="211"/>
        <v>0</v>
      </c>
      <c r="T102" s="383">
        <f t="shared" si="211"/>
        <v>0</v>
      </c>
      <c r="U102" s="383">
        <f t="shared" si="211"/>
        <v>0</v>
      </c>
      <c r="V102" s="383">
        <f t="shared" si="211"/>
        <v>0</v>
      </c>
      <c r="W102" s="383">
        <f t="shared" si="211"/>
        <v>0</v>
      </c>
      <c r="X102" s="383">
        <f t="shared" si="211"/>
        <v>0</v>
      </c>
      <c r="Y102" s="383">
        <f t="shared" si="211"/>
        <v>0</v>
      </c>
      <c r="Z102" s="383">
        <f t="shared" si="211"/>
        <v>0</v>
      </c>
      <c r="AA102" s="383">
        <f t="shared" si="211"/>
        <v>0</v>
      </c>
      <c r="AB102" s="383">
        <f t="shared" si="211"/>
        <v>0</v>
      </c>
      <c r="AC102" s="383">
        <f t="shared" si="211"/>
        <v>0</v>
      </c>
      <c r="AD102" s="383">
        <f t="shared" si="211"/>
        <v>0</v>
      </c>
      <c r="AE102" s="383">
        <f t="shared" si="211"/>
        <v>0</v>
      </c>
      <c r="AF102" s="383">
        <f t="shared" si="211"/>
        <v>0</v>
      </c>
      <c r="AG102" s="383">
        <f t="shared" si="211"/>
        <v>0</v>
      </c>
      <c r="AH102" s="383">
        <f t="shared" ref="AH102:BE102" si="212">AH6/$B$1/1000000000</f>
        <v>0</v>
      </c>
      <c r="AI102" s="383">
        <f t="shared" si="212"/>
        <v>0</v>
      </c>
      <c r="AJ102" s="383">
        <f t="shared" si="212"/>
        <v>0</v>
      </c>
      <c r="AK102" s="383">
        <f t="shared" si="212"/>
        <v>0</v>
      </c>
      <c r="AL102" s="383">
        <f t="shared" si="212"/>
        <v>0</v>
      </c>
      <c r="AM102" s="383">
        <f t="shared" si="212"/>
        <v>0</v>
      </c>
      <c r="AN102" s="383">
        <f t="shared" si="212"/>
        <v>0</v>
      </c>
      <c r="AO102" s="383">
        <f t="shared" si="212"/>
        <v>0</v>
      </c>
      <c r="AP102" s="383">
        <f t="shared" si="212"/>
        <v>0</v>
      </c>
      <c r="AQ102" s="383">
        <f t="shared" si="212"/>
        <v>0</v>
      </c>
      <c r="AR102" s="383">
        <f t="shared" si="212"/>
        <v>0</v>
      </c>
      <c r="AS102" s="383">
        <f t="shared" si="212"/>
        <v>0</v>
      </c>
      <c r="AT102" s="383">
        <f t="shared" si="212"/>
        <v>0</v>
      </c>
      <c r="AU102" s="383">
        <f t="shared" si="212"/>
        <v>0</v>
      </c>
      <c r="AV102" s="383">
        <f t="shared" si="212"/>
        <v>0</v>
      </c>
      <c r="AW102" s="383">
        <f t="shared" si="212"/>
        <v>0</v>
      </c>
      <c r="AX102" s="383">
        <f t="shared" si="204"/>
        <v>0</v>
      </c>
      <c r="AY102" s="383">
        <f t="shared" si="204"/>
        <v>0</v>
      </c>
      <c r="AZ102" s="383">
        <f t="shared" si="212"/>
        <v>0</v>
      </c>
      <c r="BA102" s="383">
        <f t="shared" si="205"/>
        <v>0</v>
      </c>
      <c r="BB102" s="383">
        <f t="shared" si="212"/>
        <v>0</v>
      </c>
      <c r="BC102" s="383">
        <f t="shared" si="212"/>
        <v>0</v>
      </c>
      <c r="BD102" s="383">
        <f t="shared" si="212"/>
        <v>0</v>
      </c>
      <c r="BE102" s="383">
        <f t="shared" si="212"/>
        <v>0</v>
      </c>
    </row>
    <row r="103" spans="1:57" s="209" customFormat="1" x14ac:dyDescent="0.15">
      <c r="A103" s="382" t="str">
        <f t="shared" si="206"/>
        <v>Thread 4</v>
      </c>
      <c r="B103" s="383">
        <f t="shared" ref="B103:AG103" si="213">B7/$B$1/1000000000</f>
        <v>0</v>
      </c>
      <c r="C103" s="383">
        <f t="shared" si="213"/>
        <v>0</v>
      </c>
      <c r="D103" s="383">
        <f t="shared" si="213"/>
        <v>0</v>
      </c>
      <c r="E103" s="383">
        <f t="shared" si="213"/>
        <v>0</v>
      </c>
      <c r="F103" s="383">
        <f t="shared" si="213"/>
        <v>0</v>
      </c>
      <c r="G103" s="383">
        <f t="shared" si="213"/>
        <v>0</v>
      </c>
      <c r="H103" s="383">
        <f t="shared" si="213"/>
        <v>0</v>
      </c>
      <c r="I103" s="383">
        <f t="shared" si="213"/>
        <v>0</v>
      </c>
      <c r="J103" s="383">
        <f t="shared" si="213"/>
        <v>0</v>
      </c>
      <c r="K103" s="383">
        <f t="shared" si="213"/>
        <v>0</v>
      </c>
      <c r="L103" s="383">
        <f t="shared" si="213"/>
        <v>0</v>
      </c>
      <c r="M103" s="383">
        <f t="shared" si="213"/>
        <v>0</v>
      </c>
      <c r="N103" s="383">
        <f t="shared" si="213"/>
        <v>0</v>
      </c>
      <c r="O103" s="383">
        <f t="shared" si="213"/>
        <v>0</v>
      </c>
      <c r="P103" s="383">
        <f t="shared" si="213"/>
        <v>0</v>
      </c>
      <c r="Q103" s="383">
        <f t="shared" si="213"/>
        <v>0</v>
      </c>
      <c r="R103" s="383">
        <f t="shared" si="213"/>
        <v>0</v>
      </c>
      <c r="S103" s="383">
        <f t="shared" si="213"/>
        <v>0</v>
      </c>
      <c r="T103" s="383">
        <f t="shared" si="213"/>
        <v>0</v>
      </c>
      <c r="U103" s="383">
        <f t="shared" si="213"/>
        <v>0</v>
      </c>
      <c r="V103" s="383">
        <f t="shared" si="213"/>
        <v>0</v>
      </c>
      <c r="W103" s="383">
        <f t="shared" si="213"/>
        <v>0</v>
      </c>
      <c r="X103" s="383">
        <f t="shared" si="213"/>
        <v>0</v>
      </c>
      <c r="Y103" s="383">
        <f t="shared" si="213"/>
        <v>0</v>
      </c>
      <c r="Z103" s="383">
        <f t="shared" si="213"/>
        <v>0</v>
      </c>
      <c r="AA103" s="383">
        <f t="shared" si="213"/>
        <v>0</v>
      </c>
      <c r="AB103" s="383">
        <f t="shared" si="213"/>
        <v>0</v>
      </c>
      <c r="AC103" s="383">
        <f t="shared" si="213"/>
        <v>0</v>
      </c>
      <c r="AD103" s="383">
        <f t="shared" si="213"/>
        <v>0</v>
      </c>
      <c r="AE103" s="383">
        <f t="shared" si="213"/>
        <v>0</v>
      </c>
      <c r="AF103" s="383">
        <f t="shared" si="213"/>
        <v>0</v>
      </c>
      <c r="AG103" s="383">
        <f t="shared" si="213"/>
        <v>0</v>
      </c>
      <c r="AH103" s="383">
        <f t="shared" ref="AH103:BE103" si="214">AH7/$B$1/1000000000</f>
        <v>0</v>
      </c>
      <c r="AI103" s="383">
        <f t="shared" si="214"/>
        <v>0</v>
      </c>
      <c r="AJ103" s="383">
        <f t="shared" si="214"/>
        <v>0</v>
      </c>
      <c r="AK103" s="383">
        <f t="shared" si="214"/>
        <v>0</v>
      </c>
      <c r="AL103" s="383">
        <f t="shared" si="214"/>
        <v>0</v>
      </c>
      <c r="AM103" s="383">
        <f t="shared" si="214"/>
        <v>0</v>
      </c>
      <c r="AN103" s="383">
        <f t="shared" si="214"/>
        <v>0</v>
      </c>
      <c r="AO103" s="383">
        <f t="shared" si="214"/>
        <v>0</v>
      </c>
      <c r="AP103" s="383">
        <f t="shared" si="214"/>
        <v>0</v>
      </c>
      <c r="AQ103" s="383">
        <f t="shared" si="214"/>
        <v>0</v>
      </c>
      <c r="AR103" s="383">
        <f t="shared" si="214"/>
        <v>0</v>
      </c>
      <c r="AS103" s="383">
        <f t="shared" si="214"/>
        <v>0</v>
      </c>
      <c r="AT103" s="383">
        <f t="shared" si="214"/>
        <v>0</v>
      </c>
      <c r="AU103" s="383">
        <f t="shared" si="214"/>
        <v>0</v>
      </c>
      <c r="AV103" s="383">
        <f t="shared" si="214"/>
        <v>0</v>
      </c>
      <c r="AW103" s="383">
        <f t="shared" si="214"/>
        <v>0</v>
      </c>
      <c r="AX103" s="383">
        <f t="shared" si="204"/>
        <v>0</v>
      </c>
      <c r="AY103" s="383">
        <f t="shared" si="204"/>
        <v>0</v>
      </c>
      <c r="AZ103" s="383">
        <f t="shared" si="214"/>
        <v>0</v>
      </c>
      <c r="BA103" s="383">
        <f t="shared" si="205"/>
        <v>0</v>
      </c>
      <c r="BB103" s="383">
        <f t="shared" si="214"/>
        <v>0</v>
      </c>
      <c r="BC103" s="383">
        <f t="shared" si="214"/>
        <v>0</v>
      </c>
      <c r="BD103" s="383">
        <f t="shared" si="214"/>
        <v>0</v>
      </c>
      <c r="BE103" s="383">
        <f t="shared" si="214"/>
        <v>0</v>
      </c>
    </row>
    <row r="104" spans="1:57" s="209" customFormat="1" x14ac:dyDescent="0.15">
      <c r="A104" s="382" t="str">
        <f t="shared" si="206"/>
        <v>Thread 5</v>
      </c>
      <c r="B104" s="383">
        <f t="shared" ref="B104:AG104" si="215">B8/$B$1/1000000000</f>
        <v>0</v>
      </c>
      <c r="C104" s="383">
        <f t="shared" si="215"/>
        <v>0</v>
      </c>
      <c r="D104" s="383">
        <f t="shared" si="215"/>
        <v>0</v>
      </c>
      <c r="E104" s="383">
        <f t="shared" si="215"/>
        <v>0</v>
      </c>
      <c r="F104" s="383">
        <f t="shared" si="215"/>
        <v>0</v>
      </c>
      <c r="G104" s="383">
        <f t="shared" si="215"/>
        <v>0</v>
      </c>
      <c r="H104" s="383">
        <f t="shared" si="215"/>
        <v>0</v>
      </c>
      <c r="I104" s="383">
        <f t="shared" si="215"/>
        <v>0</v>
      </c>
      <c r="J104" s="383">
        <f t="shared" si="215"/>
        <v>0</v>
      </c>
      <c r="K104" s="383">
        <f t="shared" si="215"/>
        <v>0</v>
      </c>
      <c r="L104" s="383">
        <f t="shared" si="215"/>
        <v>0</v>
      </c>
      <c r="M104" s="383">
        <f t="shared" si="215"/>
        <v>0</v>
      </c>
      <c r="N104" s="383">
        <f t="shared" si="215"/>
        <v>0</v>
      </c>
      <c r="O104" s="383">
        <f t="shared" si="215"/>
        <v>0</v>
      </c>
      <c r="P104" s="383">
        <f t="shared" si="215"/>
        <v>0</v>
      </c>
      <c r="Q104" s="383">
        <f t="shared" si="215"/>
        <v>0</v>
      </c>
      <c r="R104" s="383">
        <f t="shared" si="215"/>
        <v>0</v>
      </c>
      <c r="S104" s="383">
        <f t="shared" si="215"/>
        <v>0</v>
      </c>
      <c r="T104" s="383">
        <f t="shared" si="215"/>
        <v>0</v>
      </c>
      <c r="U104" s="383">
        <f t="shared" si="215"/>
        <v>0</v>
      </c>
      <c r="V104" s="383">
        <f t="shared" si="215"/>
        <v>0</v>
      </c>
      <c r="W104" s="383">
        <f t="shared" si="215"/>
        <v>0</v>
      </c>
      <c r="X104" s="383">
        <f t="shared" si="215"/>
        <v>0</v>
      </c>
      <c r="Y104" s="383">
        <f t="shared" si="215"/>
        <v>0</v>
      </c>
      <c r="Z104" s="383">
        <f t="shared" si="215"/>
        <v>0</v>
      </c>
      <c r="AA104" s="383">
        <f t="shared" si="215"/>
        <v>0</v>
      </c>
      <c r="AB104" s="383">
        <f t="shared" si="215"/>
        <v>0</v>
      </c>
      <c r="AC104" s="383">
        <f t="shared" si="215"/>
        <v>0</v>
      </c>
      <c r="AD104" s="383">
        <f t="shared" si="215"/>
        <v>0</v>
      </c>
      <c r="AE104" s="383">
        <f t="shared" si="215"/>
        <v>0</v>
      </c>
      <c r="AF104" s="383">
        <f t="shared" si="215"/>
        <v>0</v>
      </c>
      <c r="AG104" s="383">
        <f t="shared" si="215"/>
        <v>0</v>
      </c>
      <c r="AH104" s="383">
        <f t="shared" ref="AH104:BE104" si="216">AH8/$B$1/1000000000</f>
        <v>0</v>
      </c>
      <c r="AI104" s="383">
        <f t="shared" si="216"/>
        <v>0</v>
      </c>
      <c r="AJ104" s="383">
        <f t="shared" si="216"/>
        <v>0</v>
      </c>
      <c r="AK104" s="383">
        <f t="shared" si="216"/>
        <v>0</v>
      </c>
      <c r="AL104" s="383">
        <f t="shared" si="216"/>
        <v>0</v>
      </c>
      <c r="AM104" s="383">
        <f t="shared" si="216"/>
        <v>0</v>
      </c>
      <c r="AN104" s="383">
        <f t="shared" si="216"/>
        <v>0</v>
      </c>
      <c r="AO104" s="383">
        <f t="shared" si="216"/>
        <v>0</v>
      </c>
      <c r="AP104" s="383">
        <f t="shared" si="216"/>
        <v>0</v>
      </c>
      <c r="AQ104" s="383">
        <f t="shared" si="216"/>
        <v>0</v>
      </c>
      <c r="AR104" s="383">
        <f t="shared" si="216"/>
        <v>0</v>
      </c>
      <c r="AS104" s="383">
        <f t="shared" si="216"/>
        <v>0</v>
      </c>
      <c r="AT104" s="383">
        <f t="shared" si="216"/>
        <v>0</v>
      </c>
      <c r="AU104" s="383">
        <f t="shared" si="216"/>
        <v>0</v>
      </c>
      <c r="AV104" s="383">
        <f t="shared" si="216"/>
        <v>0</v>
      </c>
      <c r="AW104" s="383">
        <f t="shared" si="216"/>
        <v>0</v>
      </c>
      <c r="AX104" s="383">
        <f t="shared" si="204"/>
        <v>0</v>
      </c>
      <c r="AY104" s="383">
        <f t="shared" si="204"/>
        <v>0</v>
      </c>
      <c r="AZ104" s="383">
        <f t="shared" si="216"/>
        <v>0</v>
      </c>
      <c r="BA104" s="383">
        <f t="shared" si="205"/>
        <v>0</v>
      </c>
      <c r="BB104" s="383">
        <f t="shared" si="216"/>
        <v>0</v>
      </c>
      <c r="BC104" s="383">
        <f t="shared" si="216"/>
        <v>0</v>
      </c>
      <c r="BD104" s="383">
        <f t="shared" si="216"/>
        <v>0</v>
      </c>
      <c r="BE104" s="383">
        <f t="shared" si="216"/>
        <v>0</v>
      </c>
    </row>
    <row r="105" spans="1:57" s="209" customFormat="1" x14ac:dyDescent="0.15">
      <c r="A105" s="382" t="str">
        <f t="shared" si="206"/>
        <v>Thread 6</v>
      </c>
      <c r="B105" s="383">
        <f t="shared" ref="B105:AG105" si="217">B9/$B$1/1000000000</f>
        <v>0</v>
      </c>
      <c r="C105" s="383">
        <f t="shared" si="217"/>
        <v>0</v>
      </c>
      <c r="D105" s="383">
        <f t="shared" si="217"/>
        <v>0</v>
      </c>
      <c r="E105" s="383">
        <f t="shared" si="217"/>
        <v>0</v>
      </c>
      <c r="F105" s="383">
        <f t="shared" si="217"/>
        <v>0</v>
      </c>
      <c r="G105" s="383">
        <f t="shared" si="217"/>
        <v>0</v>
      </c>
      <c r="H105" s="383">
        <f t="shared" si="217"/>
        <v>0</v>
      </c>
      <c r="I105" s="383">
        <f t="shared" si="217"/>
        <v>0</v>
      </c>
      <c r="J105" s="383">
        <f t="shared" si="217"/>
        <v>0</v>
      </c>
      <c r="K105" s="383">
        <f t="shared" si="217"/>
        <v>0</v>
      </c>
      <c r="L105" s="383">
        <f t="shared" si="217"/>
        <v>0</v>
      </c>
      <c r="M105" s="383">
        <f t="shared" si="217"/>
        <v>0</v>
      </c>
      <c r="N105" s="383">
        <f t="shared" si="217"/>
        <v>0</v>
      </c>
      <c r="O105" s="383">
        <f t="shared" si="217"/>
        <v>0</v>
      </c>
      <c r="P105" s="383">
        <f t="shared" si="217"/>
        <v>0</v>
      </c>
      <c r="Q105" s="383">
        <f t="shared" si="217"/>
        <v>0</v>
      </c>
      <c r="R105" s="383">
        <f t="shared" si="217"/>
        <v>0</v>
      </c>
      <c r="S105" s="383">
        <f t="shared" si="217"/>
        <v>0</v>
      </c>
      <c r="T105" s="383">
        <f t="shared" si="217"/>
        <v>0</v>
      </c>
      <c r="U105" s="383">
        <f t="shared" si="217"/>
        <v>0</v>
      </c>
      <c r="V105" s="383">
        <f t="shared" si="217"/>
        <v>0</v>
      </c>
      <c r="W105" s="383">
        <f t="shared" si="217"/>
        <v>0</v>
      </c>
      <c r="X105" s="383">
        <f t="shared" si="217"/>
        <v>0</v>
      </c>
      <c r="Y105" s="383">
        <f t="shared" si="217"/>
        <v>0</v>
      </c>
      <c r="Z105" s="383">
        <f t="shared" si="217"/>
        <v>0</v>
      </c>
      <c r="AA105" s="383">
        <f t="shared" si="217"/>
        <v>0</v>
      </c>
      <c r="AB105" s="383">
        <f t="shared" si="217"/>
        <v>0</v>
      </c>
      <c r="AC105" s="383">
        <f t="shared" si="217"/>
        <v>0</v>
      </c>
      <c r="AD105" s="383">
        <f t="shared" si="217"/>
        <v>0</v>
      </c>
      <c r="AE105" s="383">
        <f t="shared" si="217"/>
        <v>0</v>
      </c>
      <c r="AF105" s="383">
        <f t="shared" si="217"/>
        <v>0</v>
      </c>
      <c r="AG105" s="383">
        <f t="shared" si="217"/>
        <v>0</v>
      </c>
      <c r="AH105" s="383">
        <f t="shared" ref="AH105:BE105" si="218">AH9/$B$1/1000000000</f>
        <v>0</v>
      </c>
      <c r="AI105" s="383">
        <f t="shared" si="218"/>
        <v>0</v>
      </c>
      <c r="AJ105" s="383">
        <f t="shared" si="218"/>
        <v>0</v>
      </c>
      <c r="AK105" s="383">
        <f t="shared" si="218"/>
        <v>0</v>
      </c>
      <c r="AL105" s="383">
        <f t="shared" si="218"/>
        <v>0</v>
      </c>
      <c r="AM105" s="383">
        <f t="shared" si="218"/>
        <v>0</v>
      </c>
      <c r="AN105" s="383">
        <f t="shared" si="218"/>
        <v>0</v>
      </c>
      <c r="AO105" s="383">
        <f t="shared" si="218"/>
        <v>0</v>
      </c>
      <c r="AP105" s="383">
        <f t="shared" si="218"/>
        <v>0</v>
      </c>
      <c r="AQ105" s="383">
        <f t="shared" si="218"/>
        <v>0</v>
      </c>
      <c r="AR105" s="383">
        <f t="shared" si="218"/>
        <v>0</v>
      </c>
      <c r="AS105" s="383">
        <f t="shared" si="218"/>
        <v>0</v>
      </c>
      <c r="AT105" s="383">
        <f t="shared" si="218"/>
        <v>0</v>
      </c>
      <c r="AU105" s="383">
        <f t="shared" si="218"/>
        <v>0</v>
      </c>
      <c r="AV105" s="383">
        <f t="shared" si="218"/>
        <v>0</v>
      </c>
      <c r="AW105" s="383">
        <f t="shared" si="218"/>
        <v>0</v>
      </c>
      <c r="AX105" s="383">
        <f t="shared" si="204"/>
        <v>0</v>
      </c>
      <c r="AY105" s="383">
        <f t="shared" si="204"/>
        <v>0</v>
      </c>
      <c r="AZ105" s="383">
        <f t="shared" si="218"/>
        <v>0</v>
      </c>
      <c r="BA105" s="383">
        <f t="shared" si="205"/>
        <v>0</v>
      </c>
      <c r="BB105" s="383">
        <f t="shared" si="218"/>
        <v>0</v>
      </c>
      <c r="BC105" s="383">
        <f t="shared" si="218"/>
        <v>0</v>
      </c>
      <c r="BD105" s="383">
        <f t="shared" si="218"/>
        <v>0</v>
      </c>
      <c r="BE105" s="383">
        <f t="shared" si="218"/>
        <v>0</v>
      </c>
    </row>
    <row r="106" spans="1:57" s="209" customFormat="1" x14ac:dyDescent="0.15">
      <c r="A106" s="382" t="str">
        <f t="shared" si="206"/>
        <v>Thread 7</v>
      </c>
      <c r="B106" s="383">
        <f t="shared" ref="B106:AG106" si="219">B10/$B$1/1000000000</f>
        <v>0</v>
      </c>
      <c r="C106" s="383">
        <f t="shared" si="219"/>
        <v>0</v>
      </c>
      <c r="D106" s="383">
        <f t="shared" si="219"/>
        <v>0</v>
      </c>
      <c r="E106" s="383">
        <f t="shared" si="219"/>
        <v>0</v>
      </c>
      <c r="F106" s="383">
        <f t="shared" si="219"/>
        <v>0</v>
      </c>
      <c r="G106" s="383">
        <f t="shared" si="219"/>
        <v>0</v>
      </c>
      <c r="H106" s="383">
        <f t="shared" si="219"/>
        <v>0</v>
      </c>
      <c r="I106" s="383">
        <f t="shared" si="219"/>
        <v>0</v>
      </c>
      <c r="J106" s="383">
        <f t="shared" si="219"/>
        <v>0</v>
      </c>
      <c r="K106" s="383">
        <f t="shared" si="219"/>
        <v>0</v>
      </c>
      <c r="L106" s="383">
        <f t="shared" si="219"/>
        <v>0</v>
      </c>
      <c r="M106" s="383">
        <f t="shared" si="219"/>
        <v>0</v>
      </c>
      <c r="N106" s="383">
        <f t="shared" si="219"/>
        <v>0</v>
      </c>
      <c r="O106" s="383">
        <f t="shared" si="219"/>
        <v>0</v>
      </c>
      <c r="P106" s="383">
        <f t="shared" si="219"/>
        <v>0</v>
      </c>
      <c r="Q106" s="383">
        <f t="shared" si="219"/>
        <v>0</v>
      </c>
      <c r="R106" s="383">
        <f t="shared" si="219"/>
        <v>0</v>
      </c>
      <c r="S106" s="383">
        <f t="shared" si="219"/>
        <v>0</v>
      </c>
      <c r="T106" s="383">
        <f t="shared" si="219"/>
        <v>0</v>
      </c>
      <c r="U106" s="383">
        <f t="shared" si="219"/>
        <v>0</v>
      </c>
      <c r="V106" s="383">
        <f t="shared" si="219"/>
        <v>0</v>
      </c>
      <c r="W106" s="383">
        <f t="shared" si="219"/>
        <v>0</v>
      </c>
      <c r="X106" s="383">
        <f t="shared" si="219"/>
        <v>0</v>
      </c>
      <c r="Y106" s="383">
        <f t="shared" si="219"/>
        <v>0</v>
      </c>
      <c r="Z106" s="383">
        <f t="shared" si="219"/>
        <v>0</v>
      </c>
      <c r="AA106" s="383">
        <f t="shared" si="219"/>
        <v>0</v>
      </c>
      <c r="AB106" s="383">
        <f t="shared" si="219"/>
        <v>0</v>
      </c>
      <c r="AC106" s="383">
        <f t="shared" si="219"/>
        <v>0</v>
      </c>
      <c r="AD106" s="383">
        <f t="shared" si="219"/>
        <v>0</v>
      </c>
      <c r="AE106" s="383">
        <f t="shared" si="219"/>
        <v>0</v>
      </c>
      <c r="AF106" s="383">
        <f t="shared" si="219"/>
        <v>0</v>
      </c>
      <c r="AG106" s="383">
        <f t="shared" si="219"/>
        <v>0</v>
      </c>
      <c r="AH106" s="383">
        <f t="shared" ref="AH106:BE106" si="220">AH10/$B$1/1000000000</f>
        <v>0</v>
      </c>
      <c r="AI106" s="383">
        <f t="shared" si="220"/>
        <v>0</v>
      </c>
      <c r="AJ106" s="383">
        <f t="shared" si="220"/>
        <v>0</v>
      </c>
      <c r="AK106" s="383">
        <f t="shared" si="220"/>
        <v>0</v>
      </c>
      <c r="AL106" s="383">
        <f t="shared" si="220"/>
        <v>0</v>
      </c>
      <c r="AM106" s="383">
        <f t="shared" si="220"/>
        <v>0</v>
      </c>
      <c r="AN106" s="383">
        <f t="shared" si="220"/>
        <v>0</v>
      </c>
      <c r="AO106" s="383">
        <f t="shared" si="220"/>
        <v>0</v>
      </c>
      <c r="AP106" s="383">
        <f t="shared" si="220"/>
        <v>0</v>
      </c>
      <c r="AQ106" s="383">
        <f t="shared" si="220"/>
        <v>0</v>
      </c>
      <c r="AR106" s="383">
        <f t="shared" si="220"/>
        <v>0</v>
      </c>
      <c r="AS106" s="383">
        <f t="shared" si="220"/>
        <v>0</v>
      </c>
      <c r="AT106" s="383">
        <f t="shared" si="220"/>
        <v>0</v>
      </c>
      <c r="AU106" s="383">
        <f t="shared" si="220"/>
        <v>0</v>
      </c>
      <c r="AV106" s="383">
        <f t="shared" si="220"/>
        <v>0</v>
      </c>
      <c r="AW106" s="383">
        <f t="shared" si="220"/>
        <v>0</v>
      </c>
      <c r="AX106" s="383">
        <f t="shared" si="204"/>
        <v>0</v>
      </c>
      <c r="AY106" s="383">
        <f t="shared" si="204"/>
        <v>0</v>
      </c>
      <c r="AZ106" s="383">
        <f t="shared" si="220"/>
        <v>0</v>
      </c>
      <c r="BA106" s="383">
        <f t="shared" si="205"/>
        <v>0</v>
      </c>
      <c r="BB106" s="383">
        <f t="shared" si="220"/>
        <v>0</v>
      </c>
      <c r="BC106" s="383">
        <f t="shared" si="220"/>
        <v>0</v>
      </c>
      <c r="BD106" s="383">
        <f t="shared" si="220"/>
        <v>0</v>
      </c>
      <c r="BE106" s="383">
        <f t="shared" si="220"/>
        <v>0</v>
      </c>
    </row>
    <row r="107" spans="1:57" s="209" customFormat="1" x14ac:dyDescent="0.15">
      <c r="A107" s="382" t="str">
        <f t="shared" si="206"/>
        <v>Thread 8</v>
      </c>
      <c r="B107" s="383">
        <f t="shared" ref="B107:AG107" si="221">B11/$B$1/1000000000</f>
        <v>0</v>
      </c>
      <c r="C107" s="383">
        <f t="shared" si="221"/>
        <v>0</v>
      </c>
      <c r="D107" s="383">
        <f t="shared" si="221"/>
        <v>0</v>
      </c>
      <c r="E107" s="383">
        <f t="shared" si="221"/>
        <v>0</v>
      </c>
      <c r="F107" s="383">
        <f t="shared" si="221"/>
        <v>0</v>
      </c>
      <c r="G107" s="383">
        <f t="shared" si="221"/>
        <v>0</v>
      </c>
      <c r="H107" s="383">
        <f t="shared" si="221"/>
        <v>0</v>
      </c>
      <c r="I107" s="383">
        <f t="shared" si="221"/>
        <v>0</v>
      </c>
      <c r="J107" s="383">
        <f t="shared" si="221"/>
        <v>0</v>
      </c>
      <c r="K107" s="383">
        <f t="shared" si="221"/>
        <v>0</v>
      </c>
      <c r="L107" s="383">
        <f t="shared" si="221"/>
        <v>0</v>
      </c>
      <c r="M107" s="383">
        <f t="shared" si="221"/>
        <v>0</v>
      </c>
      <c r="N107" s="383">
        <f t="shared" si="221"/>
        <v>0</v>
      </c>
      <c r="O107" s="383">
        <f t="shared" si="221"/>
        <v>0</v>
      </c>
      <c r="P107" s="383">
        <f t="shared" si="221"/>
        <v>0</v>
      </c>
      <c r="Q107" s="383">
        <f t="shared" si="221"/>
        <v>0</v>
      </c>
      <c r="R107" s="383">
        <f t="shared" si="221"/>
        <v>0</v>
      </c>
      <c r="S107" s="383">
        <f t="shared" si="221"/>
        <v>0</v>
      </c>
      <c r="T107" s="383">
        <f t="shared" si="221"/>
        <v>0</v>
      </c>
      <c r="U107" s="383">
        <f t="shared" si="221"/>
        <v>0</v>
      </c>
      <c r="V107" s="383">
        <f t="shared" si="221"/>
        <v>0</v>
      </c>
      <c r="W107" s="383">
        <f t="shared" si="221"/>
        <v>0</v>
      </c>
      <c r="X107" s="383">
        <f t="shared" si="221"/>
        <v>0</v>
      </c>
      <c r="Y107" s="383">
        <f t="shared" si="221"/>
        <v>0</v>
      </c>
      <c r="Z107" s="383">
        <f t="shared" si="221"/>
        <v>0</v>
      </c>
      <c r="AA107" s="383">
        <f t="shared" si="221"/>
        <v>0</v>
      </c>
      <c r="AB107" s="383">
        <f t="shared" si="221"/>
        <v>0</v>
      </c>
      <c r="AC107" s="383">
        <f t="shared" si="221"/>
        <v>0</v>
      </c>
      <c r="AD107" s="383">
        <f t="shared" si="221"/>
        <v>0</v>
      </c>
      <c r="AE107" s="383">
        <f t="shared" si="221"/>
        <v>0</v>
      </c>
      <c r="AF107" s="383">
        <f t="shared" si="221"/>
        <v>0</v>
      </c>
      <c r="AG107" s="383">
        <f t="shared" si="221"/>
        <v>0</v>
      </c>
      <c r="AH107" s="383">
        <f t="shared" ref="AH107:BE107" si="222">AH11/$B$1/1000000000</f>
        <v>0</v>
      </c>
      <c r="AI107" s="383">
        <f t="shared" si="222"/>
        <v>0</v>
      </c>
      <c r="AJ107" s="383">
        <f t="shared" si="222"/>
        <v>0</v>
      </c>
      <c r="AK107" s="383">
        <f t="shared" si="222"/>
        <v>0</v>
      </c>
      <c r="AL107" s="383">
        <f t="shared" si="222"/>
        <v>0</v>
      </c>
      <c r="AM107" s="383">
        <f t="shared" si="222"/>
        <v>0</v>
      </c>
      <c r="AN107" s="383">
        <f t="shared" si="222"/>
        <v>0</v>
      </c>
      <c r="AO107" s="383">
        <f t="shared" si="222"/>
        <v>0</v>
      </c>
      <c r="AP107" s="383">
        <f t="shared" si="222"/>
        <v>0</v>
      </c>
      <c r="AQ107" s="383">
        <f t="shared" si="222"/>
        <v>0</v>
      </c>
      <c r="AR107" s="383">
        <f t="shared" si="222"/>
        <v>0</v>
      </c>
      <c r="AS107" s="383">
        <f t="shared" si="222"/>
        <v>0</v>
      </c>
      <c r="AT107" s="383">
        <f t="shared" si="222"/>
        <v>0</v>
      </c>
      <c r="AU107" s="383">
        <f t="shared" si="222"/>
        <v>0</v>
      </c>
      <c r="AV107" s="383">
        <f t="shared" si="222"/>
        <v>0</v>
      </c>
      <c r="AW107" s="383">
        <f t="shared" si="222"/>
        <v>0</v>
      </c>
      <c r="AX107" s="383">
        <f t="shared" si="204"/>
        <v>0</v>
      </c>
      <c r="AY107" s="383">
        <f t="shared" si="204"/>
        <v>0</v>
      </c>
      <c r="AZ107" s="383">
        <f t="shared" si="222"/>
        <v>0</v>
      </c>
      <c r="BA107" s="383">
        <f t="shared" si="205"/>
        <v>0</v>
      </c>
      <c r="BB107" s="383">
        <f t="shared" si="222"/>
        <v>0</v>
      </c>
      <c r="BC107" s="383">
        <f t="shared" si="222"/>
        <v>0</v>
      </c>
      <c r="BD107" s="383">
        <f t="shared" si="222"/>
        <v>0</v>
      </c>
      <c r="BE107" s="383">
        <f t="shared" si="222"/>
        <v>0</v>
      </c>
    </row>
    <row r="108" spans="1:57" s="209" customFormat="1" x14ac:dyDescent="0.15">
      <c r="A108" s="382" t="str">
        <f t="shared" si="206"/>
        <v>Thread 9</v>
      </c>
      <c r="B108" s="383">
        <f t="shared" ref="B108:AG108" si="223">B12/$B$1/1000000000</f>
        <v>0</v>
      </c>
      <c r="C108" s="383">
        <f t="shared" si="223"/>
        <v>0</v>
      </c>
      <c r="D108" s="383">
        <f t="shared" si="223"/>
        <v>0</v>
      </c>
      <c r="E108" s="383">
        <f t="shared" si="223"/>
        <v>0</v>
      </c>
      <c r="F108" s="383">
        <f t="shared" si="223"/>
        <v>0</v>
      </c>
      <c r="G108" s="383">
        <f t="shared" si="223"/>
        <v>0</v>
      </c>
      <c r="H108" s="383">
        <f t="shared" si="223"/>
        <v>0</v>
      </c>
      <c r="I108" s="383">
        <f t="shared" si="223"/>
        <v>0</v>
      </c>
      <c r="J108" s="383">
        <f t="shared" si="223"/>
        <v>0</v>
      </c>
      <c r="K108" s="383">
        <f t="shared" si="223"/>
        <v>0</v>
      </c>
      <c r="L108" s="383">
        <f t="shared" si="223"/>
        <v>0</v>
      </c>
      <c r="M108" s="383">
        <f t="shared" si="223"/>
        <v>0</v>
      </c>
      <c r="N108" s="383">
        <f t="shared" si="223"/>
        <v>0</v>
      </c>
      <c r="O108" s="383">
        <f t="shared" si="223"/>
        <v>0</v>
      </c>
      <c r="P108" s="383">
        <f t="shared" si="223"/>
        <v>0</v>
      </c>
      <c r="Q108" s="383">
        <f t="shared" si="223"/>
        <v>0</v>
      </c>
      <c r="R108" s="383">
        <f t="shared" si="223"/>
        <v>0</v>
      </c>
      <c r="S108" s="383">
        <f t="shared" si="223"/>
        <v>0</v>
      </c>
      <c r="T108" s="383">
        <f t="shared" si="223"/>
        <v>0</v>
      </c>
      <c r="U108" s="383">
        <f t="shared" si="223"/>
        <v>0</v>
      </c>
      <c r="V108" s="383">
        <f t="shared" si="223"/>
        <v>0</v>
      </c>
      <c r="W108" s="383">
        <f t="shared" si="223"/>
        <v>0</v>
      </c>
      <c r="X108" s="383">
        <f t="shared" si="223"/>
        <v>0</v>
      </c>
      <c r="Y108" s="383">
        <f t="shared" si="223"/>
        <v>0</v>
      </c>
      <c r="Z108" s="383">
        <f t="shared" si="223"/>
        <v>0</v>
      </c>
      <c r="AA108" s="383">
        <f t="shared" si="223"/>
        <v>0</v>
      </c>
      <c r="AB108" s="383">
        <f t="shared" si="223"/>
        <v>0</v>
      </c>
      <c r="AC108" s="383">
        <f t="shared" si="223"/>
        <v>0</v>
      </c>
      <c r="AD108" s="383">
        <f t="shared" si="223"/>
        <v>0</v>
      </c>
      <c r="AE108" s="383">
        <f t="shared" si="223"/>
        <v>0</v>
      </c>
      <c r="AF108" s="383">
        <f t="shared" si="223"/>
        <v>0</v>
      </c>
      <c r="AG108" s="383">
        <f t="shared" si="223"/>
        <v>0</v>
      </c>
      <c r="AH108" s="383">
        <f t="shared" ref="AH108:BE108" si="224">AH12/$B$1/1000000000</f>
        <v>0</v>
      </c>
      <c r="AI108" s="383">
        <f t="shared" si="224"/>
        <v>0</v>
      </c>
      <c r="AJ108" s="383">
        <f t="shared" si="224"/>
        <v>0</v>
      </c>
      <c r="AK108" s="383">
        <f t="shared" si="224"/>
        <v>0</v>
      </c>
      <c r="AL108" s="383">
        <f t="shared" si="224"/>
        <v>0</v>
      </c>
      <c r="AM108" s="383">
        <f t="shared" si="224"/>
        <v>0</v>
      </c>
      <c r="AN108" s="383">
        <f t="shared" si="224"/>
        <v>0</v>
      </c>
      <c r="AO108" s="383">
        <f t="shared" si="224"/>
        <v>0</v>
      </c>
      <c r="AP108" s="383">
        <f t="shared" si="224"/>
        <v>0</v>
      </c>
      <c r="AQ108" s="383">
        <f t="shared" si="224"/>
        <v>0</v>
      </c>
      <c r="AR108" s="383">
        <f t="shared" si="224"/>
        <v>0</v>
      </c>
      <c r="AS108" s="383">
        <f t="shared" si="224"/>
        <v>0</v>
      </c>
      <c r="AT108" s="383">
        <f t="shared" si="224"/>
        <v>0</v>
      </c>
      <c r="AU108" s="383">
        <f t="shared" si="224"/>
        <v>0</v>
      </c>
      <c r="AV108" s="383">
        <f t="shared" si="224"/>
        <v>0</v>
      </c>
      <c r="AW108" s="383">
        <f t="shared" si="224"/>
        <v>0</v>
      </c>
      <c r="AX108" s="383">
        <f t="shared" si="204"/>
        <v>0</v>
      </c>
      <c r="AY108" s="383">
        <f t="shared" si="204"/>
        <v>0</v>
      </c>
      <c r="AZ108" s="383">
        <f t="shared" si="224"/>
        <v>0</v>
      </c>
      <c r="BA108" s="383">
        <f t="shared" si="205"/>
        <v>0</v>
      </c>
      <c r="BB108" s="383">
        <f t="shared" si="224"/>
        <v>0</v>
      </c>
      <c r="BC108" s="383">
        <f t="shared" si="224"/>
        <v>0</v>
      </c>
      <c r="BD108" s="383">
        <f t="shared" si="224"/>
        <v>0</v>
      </c>
      <c r="BE108" s="383">
        <f t="shared" si="224"/>
        <v>0</v>
      </c>
    </row>
    <row r="109" spans="1:57" s="209" customFormat="1" x14ac:dyDescent="0.15">
      <c r="A109" s="382" t="str">
        <f t="shared" si="206"/>
        <v>Thread 10</v>
      </c>
      <c r="B109" s="383">
        <f t="shared" ref="B109:AG109" si="225">B13/$B$1/1000000000</f>
        <v>0</v>
      </c>
      <c r="C109" s="383">
        <f t="shared" si="225"/>
        <v>0</v>
      </c>
      <c r="D109" s="383">
        <f t="shared" si="225"/>
        <v>0</v>
      </c>
      <c r="E109" s="383">
        <f t="shared" si="225"/>
        <v>0</v>
      </c>
      <c r="F109" s="383">
        <f t="shared" si="225"/>
        <v>0</v>
      </c>
      <c r="G109" s="383">
        <f t="shared" si="225"/>
        <v>0</v>
      </c>
      <c r="H109" s="383">
        <f t="shared" si="225"/>
        <v>0</v>
      </c>
      <c r="I109" s="383">
        <f t="shared" si="225"/>
        <v>0</v>
      </c>
      <c r="J109" s="383">
        <f t="shared" si="225"/>
        <v>0</v>
      </c>
      <c r="K109" s="383">
        <f t="shared" si="225"/>
        <v>0</v>
      </c>
      <c r="L109" s="383">
        <f t="shared" si="225"/>
        <v>0</v>
      </c>
      <c r="M109" s="383">
        <f t="shared" si="225"/>
        <v>0</v>
      </c>
      <c r="N109" s="383">
        <f t="shared" si="225"/>
        <v>0</v>
      </c>
      <c r="O109" s="383">
        <f t="shared" si="225"/>
        <v>0</v>
      </c>
      <c r="P109" s="383">
        <f t="shared" si="225"/>
        <v>0</v>
      </c>
      <c r="Q109" s="383">
        <f t="shared" si="225"/>
        <v>0</v>
      </c>
      <c r="R109" s="383">
        <f t="shared" si="225"/>
        <v>0</v>
      </c>
      <c r="S109" s="383">
        <f t="shared" si="225"/>
        <v>0</v>
      </c>
      <c r="T109" s="383">
        <f t="shared" si="225"/>
        <v>0</v>
      </c>
      <c r="U109" s="383">
        <f t="shared" si="225"/>
        <v>0</v>
      </c>
      <c r="V109" s="383">
        <f t="shared" si="225"/>
        <v>0</v>
      </c>
      <c r="W109" s="383">
        <f t="shared" si="225"/>
        <v>0</v>
      </c>
      <c r="X109" s="383">
        <f t="shared" si="225"/>
        <v>0</v>
      </c>
      <c r="Y109" s="383">
        <f t="shared" si="225"/>
        <v>0</v>
      </c>
      <c r="Z109" s="383">
        <f t="shared" si="225"/>
        <v>0</v>
      </c>
      <c r="AA109" s="383">
        <f t="shared" si="225"/>
        <v>0</v>
      </c>
      <c r="AB109" s="383">
        <f t="shared" si="225"/>
        <v>0</v>
      </c>
      <c r="AC109" s="383">
        <f t="shared" si="225"/>
        <v>0</v>
      </c>
      <c r="AD109" s="383">
        <f t="shared" si="225"/>
        <v>0</v>
      </c>
      <c r="AE109" s="383">
        <f t="shared" si="225"/>
        <v>0</v>
      </c>
      <c r="AF109" s="383">
        <f t="shared" si="225"/>
        <v>0</v>
      </c>
      <c r="AG109" s="383">
        <f t="shared" si="225"/>
        <v>0</v>
      </c>
      <c r="AH109" s="383">
        <f t="shared" ref="AH109:BE109" si="226">AH13/$B$1/1000000000</f>
        <v>0</v>
      </c>
      <c r="AI109" s="383">
        <f t="shared" si="226"/>
        <v>0</v>
      </c>
      <c r="AJ109" s="383">
        <f t="shared" si="226"/>
        <v>0</v>
      </c>
      <c r="AK109" s="383">
        <f t="shared" si="226"/>
        <v>0</v>
      </c>
      <c r="AL109" s="383">
        <f t="shared" si="226"/>
        <v>0</v>
      </c>
      <c r="AM109" s="383">
        <f t="shared" si="226"/>
        <v>0</v>
      </c>
      <c r="AN109" s="383">
        <f t="shared" si="226"/>
        <v>0</v>
      </c>
      <c r="AO109" s="383">
        <f t="shared" si="226"/>
        <v>0</v>
      </c>
      <c r="AP109" s="383">
        <f t="shared" si="226"/>
        <v>0</v>
      </c>
      <c r="AQ109" s="383">
        <f t="shared" si="226"/>
        <v>0</v>
      </c>
      <c r="AR109" s="383">
        <f t="shared" si="226"/>
        <v>0</v>
      </c>
      <c r="AS109" s="383">
        <f t="shared" si="226"/>
        <v>0</v>
      </c>
      <c r="AT109" s="383">
        <f t="shared" si="226"/>
        <v>0</v>
      </c>
      <c r="AU109" s="383">
        <f t="shared" si="226"/>
        <v>0</v>
      </c>
      <c r="AV109" s="383">
        <f t="shared" si="226"/>
        <v>0</v>
      </c>
      <c r="AW109" s="383">
        <f t="shared" si="226"/>
        <v>0</v>
      </c>
      <c r="AX109" s="383">
        <f t="shared" si="204"/>
        <v>0</v>
      </c>
      <c r="AY109" s="383">
        <f t="shared" si="204"/>
        <v>0</v>
      </c>
      <c r="AZ109" s="383">
        <f t="shared" si="226"/>
        <v>0</v>
      </c>
      <c r="BA109" s="383">
        <f t="shared" si="205"/>
        <v>0</v>
      </c>
      <c r="BB109" s="383">
        <f t="shared" si="226"/>
        <v>0</v>
      </c>
      <c r="BC109" s="383">
        <f t="shared" si="226"/>
        <v>0</v>
      </c>
      <c r="BD109" s="383">
        <f t="shared" si="226"/>
        <v>0</v>
      </c>
      <c r="BE109" s="383">
        <f t="shared" si="226"/>
        <v>0</v>
      </c>
    </row>
    <row r="110" spans="1:57" s="209" customFormat="1" x14ac:dyDescent="0.15">
      <c r="A110" s="382" t="str">
        <f t="shared" si="206"/>
        <v>Thread 11</v>
      </c>
      <c r="B110" s="383">
        <f t="shared" ref="B110:AG110" si="227">B14/$B$1/1000000000</f>
        <v>0</v>
      </c>
      <c r="C110" s="383">
        <f t="shared" si="227"/>
        <v>0</v>
      </c>
      <c r="D110" s="383">
        <f t="shared" si="227"/>
        <v>0</v>
      </c>
      <c r="E110" s="383">
        <f t="shared" si="227"/>
        <v>0</v>
      </c>
      <c r="F110" s="383">
        <f t="shared" si="227"/>
        <v>0</v>
      </c>
      <c r="G110" s="383">
        <f t="shared" si="227"/>
        <v>0</v>
      </c>
      <c r="H110" s="383">
        <f t="shared" si="227"/>
        <v>0</v>
      </c>
      <c r="I110" s="383">
        <f t="shared" si="227"/>
        <v>0</v>
      </c>
      <c r="J110" s="383">
        <f t="shared" si="227"/>
        <v>0</v>
      </c>
      <c r="K110" s="383">
        <f t="shared" si="227"/>
        <v>0</v>
      </c>
      <c r="L110" s="383">
        <f t="shared" si="227"/>
        <v>0</v>
      </c>
      <c r="M110" s="383">
        <f t="shared" si="227"/>
        <v>0</v>
      </c>
      <c r="N110" s="383">
        <f t="shared" si="227"/>
        <v>0</v>
      </c>
      <c r="O110" s="383">
        <f t="shared" si="227"/>
        <v>0</v>
      </c>
      <c r="P110" s="383">
        <f t="shared" si="227"/>
        <v>0</v>
      </c>
      <c r="Q110" s="383">
        <f t="shared" si="227"/>
        <v>0</v>
      </c>
      <c r="R110" s="383">
        <f t="shared" si="227"/>
        <v>0</v>
      </c>
      <c r="S110" s="383">
        <f t="shared" si="227"/>
        <v>0</v>
      </c>
      <c r="T110" s="383">
        <f t="shared" si="227"/>
        <v>0</v>
      </c>
      <c r="U110" s="383">
        <f t="shared" si="227"/>
        <v>0</v>
      </c>
      <c r="V110" s="383">
        <f t="shared" si="227"/>
        <v>0</v>
      </c>
      <c r="W110" s="383">
        <f t="shared" si="227"/>
        <v>0</v>
      </c>
      <c r="X110" s="383">
        <f t="shared" si="227"/>
        <v>0</v>
      </c>
      <c r="Y110" s="383">
        <f t="shared" si="227"/>
        <v>0</v>
      </c>
      <c r="Z110" s="383">
        <f t="shared" si="227"/>
        <v>0</v>
      </c>
      <c r="AA110" s="383">
        <f t="shared" si="227"/>
        <v>0</v>
      </c>
      <c r="AB110" s="383">
        <f t="shared" si="227"/>
        <v>0</v>
      </c>
      <c r="AC110" s="383">
        <f t="shared" si="227"/>
        <v>0</v>
      </c>
      <c r="AD110" s="383">
        <f t="shared" si="227"/>
        <v>0</v>
      </c>
      <c r="AE110" s="383">
        <f t="shared" si="227"/>
        <v>0</v>
      </c>
      <c r="AF110" s="383">
        <f t="shared" si="227"/>
        <v>0</v>
      </c>
      <c r="AG110" s="383">
        <f t="shared" si="227"/>
        <v>0</v>
      </c>
      <c r="AH110" s="383">
        <f t="shared" ref="AH110:BE110" si="228">AH14/$B$1/1000000000</f>
        <v>0</v>
      </c>
      <c r="AI110" s="383">
        <f t="shared" si="228"/>
        <v>0</v>
      </c>
      <c r="AJ110" s="383">
        <f t="shared" si="228"/>
        <v>0</v>
      </c>
      <c r="AK110" s="383">
        <f t="shared" si="228"/>
        <v>0</v>
      </c>
      <c r="AL110" s="383">
        <f t="shared" si="228"/>
        <v>0</v>
      </c>
      <c r="AM110" s="383">
        <f t="shared" si="228"/>
        <v>0</v>
      </c>
      <c r="AN110" s="383">
        <f t="shared" si="228"/>
        <v>0</v>
      </c>
      <c r="AO110" s="383">
        <f t="shared" si="228"/>
        <v>0</v>
      </c>
      <c r="AP110" s="383">
        <f t="shared" si="228"/>
        <v>0</v>
      </c>
      <c r="AQ110" s="383">
        <f t="shared" si="228"/>
        <v>0</v>
      </c>
      <c r="AR110" s="383">
        <f t="shared" si="228"/>
        <v>0</v>
      </c>
      <c r="AS110" s="383">
        <f t="shared" si="228"/>
        <v>0</v>
      </c>
      <c r="AT110" s="383">
        <f t="shared" si="228"/>
        <v>0</v>
      </c>
      <c r="AU110" s="383">
        <f t="shared" si="228"/>
        <v>0</v>
      </c>
      <c r="AV110" s="383">
        <f t="shared" si="228"/>
        <v>0</v>
      </c>
      <c r="AW110" s="383">
        <f t="shared" si="228"/>
        <v>0</v>
      </c>
      <c r="AX110" s="383">
        <f t="shared" si="204"/>
        <v>0</v>
      </c>
      <c r="AY110" s="383">
        <f t="shared" si="204"/>
        <v>0</v>
      </c>
      <c r="AZ110" s="383">
        <f t="shared" si="228"/>
        <v>0</v>
      </c>
      <c r="BA110" s="383">
        <f t="shared" si="205"/>
        <v>0</v>
      </c>
      <c r="BB110" s="383">
        <f t="shared" si="228"/>
        <v>0</v>
      </c>
      <c r="BC110" s="383">
        <f t="shared" si="228"/>
        <v>0</v>
      </c>
      <c r="BD110" s="383">
        <f t="shared" si="228"/>
        <v>0</v>
      </c>
      <c r="BE110" s="383">
        <f t="shared" si="228"/>
        <v>0</v>
      </c>
    </row>
    <row r="111" spans="1:57" s="209" customFormat="1" x14ac:dyDescent="0.15">
      <c r="A111" s="382" t="str">
        <f t="shared" si="206"/>
        <v>Thread 12</v>
      </c>
      <c r="B111" s="383">
        <f t="shared" ref="B111:AG111" si="229">B15/$B$1/1000000000</f>
        <v>0</v>
      </c>
      <c r="C111" s="383">
        <f t="shared" si="229"/>
        <v>0</v>
      </c>
      <c r="D111" s="383">
        <f t="shared" si="229"/>
        <v>0</v>
      </c>
      <c r="E111" s="383">
        <f t="shared" si="229"/>
        <v>0</v>
      </c>
      <c r="F111" s="383">
        <f t="shared" si="229"/>
        <v>0</v>
      </c>
      <c r="G111" s="383">
        <f t="shared" si="229"/>
        <v>0</v>
      </c>
      <c r="H111" s="383">
        <f t="shared" si="229"/>
        <v>0</v>
      </c>
      <c r="I111" s="383">
        <f t="shared" si="229"/>
        <v>0</v>
      </c>
      <c r="J111" s="383">
        <f t="shared" si="229"/>
        <v>0</v>
      </c>
      <c r="K111" s="383">
        <f t="shared" si="229"/>
        <v>0</v>
      </c>
      <c r="L111" s="383">
        <f t="shared" si="229"/>
        <v>0</v>
      </c>
      <c r="M111" s="383">
        <f t="shared" si="229"/>
        <v>0</v>
      </c>
      <c r="N111" s="383">
        <f t="shared" si="229"/>
        <v>0</v>
      </c>
      <c r="O111" s="383">
        <f t="shared" si="229"/>
        <v>0</v>
      </c>
      <c r="P111" s="383">
        <f t="shared" si="229"/>
        <v>0</v>
      </c>
      <c r="Q111" s="383">
        <f t="shared" si="229"/>
        <v>0</v>
      </c>
      <c r="R111" s="383">
        <f t="shared" si="229"/>
        <v>0</v>
      </c>
      <c r="S111" s="383">
        <f t="shared" si="229"/>
        <v>0</v>
      </c>
      <c r="T111" s="383">
        <f t="shared" si="229"/>
        <v>0</v>
      </c>
      <c r="U111" s="383">
        <f t="shared" si="229"/>
        <v>0</v>
      </c>
      <c r="V111" s="383">
        <f t="shared" si="229"/>
        <v>0</v>
      </c>
      <c r="W111" s="383">
        <f t="shared" si="229"/>
        <v>0</v>
      </c>
      <c r="X111" s="383">
        <f t="shared" si="229"/>
        <v>0</v>
      </c>
      <c r="Y111" s="383">
        <f t="shared" si="229"/>
        <v>0</v>
      </c>
      <c r="Z111" s="383">
        <f t="shared" si="229"/>
        <v>0</v>
      </c>
      <c r="AA111" s="383">
        <f t="shared" si="229"/>
        <v>0</v>
      </c>
      <c r="AB111" s="383">
        <f t="shared" si="229"/>
        <v>0</v>
      </c>
      <c r="AC111" s="383">
        <f t="shared" si="229"/>
        <v>0</v>
      </c>
      <c r="AD111" s="383">
        <f t="shared" si="229"/>
        <v>0</v>
      </c>
      <c r="AE111" s="383">
        <f t="shared" si="229"/>
        <v>0</v>
      </c>
      <c r="AF111" s="383">
        <f t="shared" si="229"/>
        <v>0</v>
      </c>
      <c r="AG111" s="383">
        <f t="shared" si="229"/>
        <v>0</v>
      </c>
      <c r="AH111" s="383">
        <f t="shared" ref="AH111:BE111" si="230">AH15/$B$1/1000000000</f>
        <v>0</v>
      </c>
      <c r="AI111" s="383">
        <f t="shared" si="230"/>
        <v>0</v>
      </c>
      <c r="AJ111" s="383">
        <f t="shared" si="230"/>
        <v>0</v>
      </c>
      <c r="AK111" s="383">
        <f t="shared" si="230"/>
        <v>0</v>
      </c>
      <c r="AL111" s="383">
        <f t="shared" si="230"/>
        <v>0</v>
      </c>
      <c r="AM111" s="383">
        <f t="shared" si="230"/>
        <v>0</v>
      </c>
      <c r="AN111" s="383">
        <f t="shared" si="230"/>
        <v>0</v>
      </c>
      <c r="AO111" s="383">
        <f t="shared" si="230"/>
        <v>0</v>
      </c>
      <c r="AP111" s="383">
        <f t="shared" si="230"/>
        <v>0</v>
      </c>
      <c r="AQ111" s="383">
        <f t="shared" si="230"/>
        <v>0</v>
      </c>
      <c r="AR111" s="383">
        <f t="shared" si="230"/>
        <v>0</v>
      </c>
      <c r="AS111" s="383">
        <f t="shared" si="230"/>
        <v>0</v>
      </c>
      <c r="AT111" s="383">
        <f t="shared" si="230"/>
        <v>0</v>
      </c>
      <c r="AU111" s="383">
        <f t="shared" si="230"/>
        <v>0</v>
      </c>
      <c r="AV111" s="383">
        <f t="shared" si="230"/>
        <v>0</v>
      </c>
      <c r="AW111" s="383">
        <f t="shared" si="230"/>
        <v>0</v>
      </c>
      <c r="AX111" s="383">
        <f t="shared" si="204"/>
        <v>0</v>
      </c>
      <c r="AY111" s="383">
        <f t="shared" si="204"/>
        <v>0</v>
      </c>
      <c r="AZ111" s="383">
        <f t="shared" si="230"/>
        <v>0</v>
      </c>
      <c r="BA111" s="383">
        <f t="shared" si="205"/>
        <v>0</v>
      </c>
      <c r="BB111" s="383">
        <f t="shared" si="230"/>
        <v>0</v>
      </c>
      <c r="BC111" s="383">
        <f t="shared" si="230"/>
        <v>0</v>
      </c>
      <c r="BD111" s="383">
        <f t="shared" si="230"/>
        <v>0</v>
      </c>
      <c r="BE111" s="383">
        <f t="shared" si="230"/>
        <v>0</v>
      </c>
    </row>
    <row r="112" spans="1:57" s="209" customFormat="1" x14ac:dyDescent="0.15">
      <c r="A112" s="382" t="str">
        <f t="shared" si="206"/>
        <v>Thread 13</v>
      </c>
      <c r="B112" s="383">
        <f t="shared" ref="B112:AG112" si="231">B16/$B$1/1000000000</f>
        <v>0</v>
      </c>
      <c r="C112" s="383">
        <f t="shared" si="231"/>
        <v>0</v>
      </c>
      <c r="D112" s="383">
        <f t="shared" si="231"/>
        <v>0</v>
      </c>
      <c r="E112" s="383">
        <f t="shared" si="231"/>
        <v>0</v>
      </c>
      <c r="F112" s="383">
        <f t="shared" si="231"/>
        <v>0</v>
      </c>
      <c r="G112" s="383">
        <f t="shared" si="231"/>
        <v>0</v>
      </c>
      <c r="H112" s="383">
        <f t="shared" si="231"/>
        <v>0</v>
      </c>
      <c r="I112" s="383">
        <f t="shared" si="231"/>
        <v>0</v>
      </c>
      <c r="J112" s="383">
        <f t="shared" si="231"/>
        <v>0</v>
      </c>
      <c r="K112" s="383">
        <f t="shared" si="231"/>
        <v>0</v>
      </c>
      <c r="L112" s="383">
        <f t="shared" si="231"/>
        <v>0</v>
      </c>
      <c r="M112" s="383">
        <f t="shared" si="231"/>
        <v>0</v>
      </c>
      <c r="N112" s="383">
        <f t="shared" si="231"/>
        <v>0</v>
      </c>
      <c r="O112" s="383">
        <f t="shared" si="231"/>
        <v>0</v>
      </c>
      <c r="P112" s="383">
        <f t="shared" si="231"/>
        <v>0</v>
      </c>
      <c r="Q112" s="383">
        <f t="shared" si="231"/>
        <v>0</v>
      </c>
      <c r="R112" s="383">
        <f t="shared" si="231"/>
        <v>0</v>
      </c>
      <c r="S112" s="383">
        <f t="shared" si="231"/>
        <v>0</v>
      </c>
      <c r="T112" s="383">
        <f t="shared" si="231"/>
        <v>0</v>
      </c>
      <c r="U112" s="383">
        <f t="shared" si="231"/>
        <v>0</v>
      </c>
      <c r="V112" s="383">
        <f t="shared" si="231"/>
        <v>0</v>
      </c>
      <c r="W112" s="383">
        <f t="shared" si="231"/>
        <v>0</v>
      </c>
      <c r="X112" s="383">
        <f t="shared" si="231"/>
        <v>0</v>
      </c>
      <c r="Y112" s="383">
        <f t="shared" si="231"/>
        <v>0</v>
      </c>
      <c r="Z112" s="383">
        <f t="shared" si="231"/>
        <v>0</v>
      </c>
      <c r="AA112" s="383">
        <f t="shared" si="231"/>
        <v>0</v>
      </c>
      <c r="AB112" s="383">
        <f t="shared" si="231"/>
        <v>0</v>
      </c>
      <c r="AC112" s="383">
        <f t="shared" si="231"/>
        <v>0</v>
      </c>
      <c r="AD112" s="383">
        <f t="shared" si="231"/>
        <v>0</v>
      </c>
      <c r="AE112" s="383">
        <f t="shared" si="231"/>
        <v>0</v>
      </c>
      <c r="AF112" s="383">
        <f t="shared" si="231"/>
        <v>0</v>
      </c>
      <c r="AG112" s="383">
        <f t="shared" si="231"/>
        <v>0</v>
      </c>
      <c r="AH112" s="383">
        <f t="shared" ref="AH112:BE112" si="232">AH16/$B$1/1000000000</f>
        <v>0</v>
      </c>
      <c r="AI112" s="383">
        <f t="shared" si="232"/>
        <v>0</v>
      </c>
      <c r="AJ112" s="383">
        <f t="shared" si="232"/>
        <v>0</v>
      </c>
      <c r="AK112" s="383">
        <f t="shared" si="232"/>
        <v>0</v>
      </c>
      <c r="AL112" s="383">
        <f t="shared" si="232"/>
        <v>0</v>
      </c>
      <c r="AM112" s="383">
        <f t="shared" si="232"/>
        <v>0</v>
      </c>
      <c r="AN112" s="383">
        <f t="shared" si="232"/>
        <v>0</v>
      </c>
      <c r="AO112" s="383">
        <f t="shared" si="232"/>
        <v>0</v>
      </c>
      <c r="AP112" s="383">
        <f t="shared" si="232"/>
        <v>0</v>
      </c>
      <c r="AQ112" s="383">
        <f t="shared" si="232"/>
        <v>0</v>
      </c>
      <c r="AR112" s="383">
        <f t="shared" si="232"/>
        <v>0</v>
      </c>
      <c r="AS112" s="383">
        <f t="shared" si="232"/>
        <v>0</v>
      </c>
      <c r="AT112" s="383">
        <f t="shared" si="232"/>
        <v>0</v>
      </c>
      <c r="AU112" s="383">
        <f t="shared" si="232"/>
        <v>0</v>
      </c>
      <c r="AV112" s="383">
        <f t="shared" si="232"/>
        <v>0</v>
      </c>
      <c r="AW112" s="383">
        <f t="shared" si="232"/>
        <v>0</v>
      </c>
      <c r="AX112" s="383">
        <f t="shared" si="204"/>
        <v>0</v>
      </c>
      <c r="AY112" s="383">
        <f t="shared" si="204"/>
        <v>0</v>
      </c>
      <c r="AZ112" s="383">
        <f t="shared" si="232"/>
        <v>0</v>
      </c>
      <c r="BA112" s="383">
        <f t="shared" si="205"/>
        <v>0</v>
      </c>
      <c r="BB112" s="383">
        <f t="shared" si="232"/>
        <v>0</v>
      </c>
      <c r="BC112" s="383">
        <f t="shared" si="232"/>
        <v>0</v>
      </c>
      <c r="BD112" s="383">
        <f t="shared" si="232"/>
        <v>0</v>
      </c>
      <c r="BE112" s="383">
        <f t="shared" si="232"/>
        <v>0</v>
      </c>
    </row>
    <row r="113" spans="1:64" s="209" customFormat="1" x14ac:dyDescent="0.15">
      <c r="A113" s="382" t="str">
        <f t="shared" si="206"/>
        <v>Thread 14</v>
      </c>
      <c r="B113" s="383">
        <f t="shared" ref="B113:AG113" si="233">B17/$B$1/1000000000</f>
        <v>0</v>
      </c>
      <c r="C113" s="383">
        <f t="shared" si="233"/>
        <v>0</v>
      </c>
      <c r="D113" s="383">
        <f t="shared" si="233"/>
        <v>0</v>
      </c>
      <c r="E113" s="383">
        <f t="shared" si="233"/>
        <v>0</v>
      </c>
      <c r="F113" s="383">
        <f t="shared" si="233"/>
        <v>0</v>
      </c>
      <c r="G113" s="383">
        <f t="shared" si="233"/>
        <v>0</v>
      </c>
      <c r="H113" s="383">
        <f t="shared" si="233"/>
        <v>0</v>
      </c>
      <c r="I113" s="383">
        <f t="shared" si="233"/>
        <v>0</v>
      </c>
      <c r="J113" s="383">
        <f t="shared" si="233"/>
        <v>0</v>
      </c>
      <c r="K113" s="383">
        <f t="shared" si="233"/>
        <v>0</v>
      </c>
      <c r="L113" s="383">
        <f t="shared" si="233"/>
        <v>0</v>
      </c>
      <c r="M113" s="383">
        <f t="shared" si="233"/>
        <v>0</v>
      </c>
      <c r="N113" s="383">
        <f t="shared" si="233"/>
        <v>0</v>
      </c>
      <c r="O113" s="383">
        <f t="shared" si="233"/>
        <v>0</v>
      </c>
      <c r="P113" s="383">
        <f t="shared" si="233"/>
        <v>0</v>
      </c>
      <c r="Q113" s="383">
        <f t="shared" si="233"/>
        <v>0</v>
      </c>
      <c r="R113" s="383">
        <f t="shared" si="233"/>
        <v>0</v>
      </c>
      <c r="S113" s="383">
        <f t="shared" si="233"/>
        <v>0</v>
      </c>
      <c r="T113" s="383">
        <f t="shared" si="233"/>
        <v>0</v>
      </c>
      <c r="U113" s="383">
        <f t="shared" si="233"/>
        <v>0</v>
      </c>
      <c r="V113" s="383">
        <f t="shared" si="233"/>
        <v>0</v>
      </c>
      <c r="W113" s="383">
        <f t="shared" si="233"/>
        <v>0</v>
      </c>
      <c r="X113" s="383">
        <f t="shared" si="233"/>
        <v>0</v>
      </c>
      <c r="Y113" s="383">
        <f t="shared" si="233"/>
        <v>0</v>
      </c>
      <c r="Z113" s="383">
        <f t="shared" si="233"/>
        <v>0</v>
      </c>
      <c r="AA113" s="383">
        <f t="shared" si="233"/>
        <v>0</v>
      </c>
      <c r="AB113" s="383">
        <f t="shared" si="233"/>
        <v>0</v>
      </c>
      <c r="AC113" s="383">
        <f t="shared" si="233"/>
        <v>0</v>
      </c>
      <c r="AD113" s="383">
        <f t="shared" si="233"/>
        <v>0</v>
      </c>
      <c r="AE113" s="383">
        <f t="shared" si="233"/>
        <v>0</v>
      </c>
      <c r="AF113" s="383">
        <f t="shared" si="233"/>
        <v>0</v>
      </c>
      <c r="AG113" s="383">
        <f t="shared" si="233"/>
        <v>0</v>
      </c>
      <c r="AH113" s="383">
        <f t="shared" ref="AH113:BE113" si="234">AH17/$B$1/1000000000</f>
        <v>0</v>
      </c>
      <c r="AI113" s="383">
        <f t="shared" si="234"/>
        <v>0</v>
      </c>
      <c r="AJ113" s="383">
        <f t="shared" si="234"/>
        <v>0</v>
      </c>
      <c r="AK113" s="383">
        <f t="shared" si="234"/>
        <v>0</v>
      </c>
      <c r="AL113" s="383">
        <f t="shared" si="234"/>
        <v>0</v>
      </c>
      <c r="AM113" s="383">
        <f t="shared" si="234"/>
        <v>0</v>
      </c>
      <c r="AN113" s="383">
        <f t="shared" si="234"/>
        <v>0</v>
      </c>
      <c r="AO113" s="383">
        <f t="shared" si="234"/>
        <v>0</v>
      </c>
      <c r="AP113" s="383">
        <f t="shared" si="234"/>
        <v>0</v>
      </c>
      <c r="AQ113" s="383">
        <f t="shared" si="234"/>
        <v>0</v>
      </c>
      <c r="AR113" s="383">
        <f t="shared" si="234"/>
        <v>0</v>
      </c>
      <c r="AS113" s="383">
        <f t="shared" si="234"/>
        <v>0</v>
      </c>
      <c r="AT113" s="383">
        <f t="shared" si="234"/>
        <v>0</v>
      </c>
      <c r="AU113" s="383">
        <f t="shared" si="234"/>
        <v>0</v>
      </c>
      <c r="AV113" s="383">
        <f t="shared" si="234"/>
        <v>0</v>
      </c>
      <c r="AW113" s="383">
        <f t="shared" si="234"/>
        <v>0</v>
      </c>
      <c r="AX113" s="383">
        <f t="shared" si="204"/>
        <v>0</v>
      </c>
      <c r="AY113" s="383">
        <f t="shared" si="204"/>
        <v>0</v>
      </c>
      <c r="AZ113" s="383">
        <f t="shared" si="234"/>
        <v>0</v>
      </c>
      <c r="BA113" s="383">
        <f t="shared" si="205"/>
        <v>0</v>
      </c>
      <c r="BB113" s="383">
        <f t="shared" si="234"/>
        <v>0</v>
      </c>
      <c r="BC113" s="383">
        <f t="shared" si="234"/>
        <v>0</v>
      </c>
      <c r="BD113" s="383">
        <f t="shared" si="234"/>
        <v>0</v>
      </c>
      <c r="BE113" s="383">
        <f t="shared" si="234"/>
        <v>0</v>
      </c>
    </row>
    <row r="114" spans="1:64" s="209" customFormat="1" x14ac:dyDescent="0.15">
      <c r="A114" s="382" t="str">
        <f t="shared" si="206"/>
        <v>Thread 15</v>
      </c>
      <c r="B114" s="383">
        <f t="shared" ref="B114:AG114" si="235">B18/$B$1/1000000000</f>
        <v>0</v>
      </c>
      <c r="C114" s="383">
        <f t="shared" si="235"/>
        <v>0</v>
      </c>
      <c r="D114" s="383">
        <f t="shared" si="235"/>
        <v>0</v>
      </c>
      <c r="E114" s="383">
        <f t="shared" si="235"/>
        <v>0</v>
      </c>
      <c r="F114" s="383">
        <f t="shared" si="235"/>
        <v>0</v>
      </c>
      <c r="G114" s="383">
        <f t="shared" si="235"/>
        <v>0</v>
      </c>
      <c r="H114" s="383">
        <f t="shared" si="235"/>
        <v>0</v>
      </c>
      <c r="I114" s="383">
        <f t="shared" si="235"/>
        <v>0</v>
      </c>
      <c r="J114" s="383">
        <f t="shared" si="235"/>
        <v>0</v>
      </c>
      <c r="K114" s="383">
        <f t="shared" si="235"/>
        <v>0</v>
      </c>
      <c r="L114" s="383">
        <f t="shared" si="235"/>
        <v>0</v>
      </c>
      <c r="M114" s="383">
        <f t="shared" si="235"/>
        <v>0</v>
      </c>
      <c r="N114" s="383">
        <f t="shared" si="235"/>
        <v>0</v>
      </c>
      <c r="O114" s="383">
        <f t="shared" si="235"/>
        <v>0</v>
      </c>
      <c r="P114" s="383">
        <f t="shared" si="235"/>
        <v>0</v>
      </c>
      <c r="Q114" s="383">
        <f t="shared" si="235"/>
        <v>0</v>
      </c>
      <c r="R114" s="383">
        <f t="shared" si="235"/>
        <v>0</v>
      </c>
      <c r="S114" s="383">
        <f t="shared" si="235"/>
        <v>0</v>
      </c>
      <c r="T114" s="383">
        <f t="shared" si="235"/>
        <v>0</v>
      </c>
      <c r="U114" s="383">
        <f t="shared" si="235"/>
        <v>0</v>
      </c>
      <c r="V114" s="383">
        <f t="shared" si="235"/>
        <v>0</v>
      </c>
      <c r="W114" s="383">
        <f t="shared" si="235"/>
        <v>0</v>
      </c>
      <c r="X114" s="383">
        <f t="shared" si="235"/>
        <v>0</v>
      </c>
      <c r="Y114" s="383">
        <f t="shared" si="235"/>
        <v>0</v>
      </c>
      <c r="Z114" s="383">
        <f t="shared" si="235"/>
        <v>0</v>
      </c>
      <c r="AA114" s="383">
        <f t="shared" si="235"/>
        <v>0</v>
      </c>
      <c r="AB114" s="383">
        <f t="shared" si="235"/>
        <v>0</v>
      </c>
      <c r="AC114" s="383">
        <f t="shared" si="235"/>
        <v>0</v>
      </c>
      <c r="AD114" s="383">
        <f t="shared" si="235"/>
        <v>0</v>
      </c>
      <c r="AE114" s="383">
        <f t="shared" si="235"/>
        <v>0</v>
      </c>
      <c r="AF114" s="383">
        <f t="shared" si="235"/>
        <v>0</v>
      </c>
      <c r="AG114" s="383">
        <f t="shared" si="235"/>
        <v>0</v>
      </c>
      <c r="AH114" s="383">
        <f t="shared" ref="AH114:BE114" si="236">AH18/$B$1/1000000000</f>
        <v>0</v>
      </c>
      <c r="AI114" s="383">
        <f t="shared" si="236"/>
        <v>0</v>
      </c>
      <c r="AJ114" s="383">
        <f t="shared" si="236"/>
        <v>0</v>
      </c>
      <c r="AK114" s="383">
        <f t="shared" si="236"/>
        <v>0</v>
      </c>
      <c r="AL114" s="383">
        <f t="shared" si="236"/>
        <v>0</v>
      </c>
      <c r="AM114" s="383">
        <f t="shared" si="236"/>
        <v>0</v>
      </c>
      <c r="AN114" s="383">
        <f t="shared" si="236"/>
        <v>0</v>
      </c>
      <c r="AO114" s="383">
        <f t="shared" si="236"/>
        <v>0</v>
      </c>
      <c r="AP114" s="383">
        <f t="shared" si="236"/>
        <v>0</v>
      </c>
      <c r="AQ114" s="383">
        <f t="shared" si="236"/>
        <v>0</v>
      </c>
      <c r="AR114" s="383">
        <f t="shared" si="236"/>
        <v>0</v>
      </c>
      <c r="AS114" s="383">
        <f t="shared" si="236"/>
        <v>0</v>
      </c>
      <c r="AT114" s="383">
        <f t="shared" si="236"/>
        <v>0</v>
      </c>
      <c r="AU114" s="383">
        <f t="shared" si="236"/>
        <v>0</v>
      </c>
      <c r="AV114" s="383">
        <f t="shared" si="236"/>
        <v>0</v>
      </c>
      <c r="AW114" s="383">
        <f t="shared" si="236"/>
        <v>0</v>
      </c>
      <c r="AX114" s="383">
        <f t="shared" si="204"/>
        <v>0</v>
      </c>
      <c r="AY114" s="383">
        <f t="shared" si="204"/>
        <v>0</v>
      </c>
      <c r="AZ114" s="383">
        <f t="shared" si="236"/>
        <v>0</v>
      </c>
      <c r="BA114" s="383">
        <f t="shared" si="205"/>
        <v>0</v>
      </c>
      <c r="BB114" s="383">
        <f t="shared" si="236"/>
        <v>0</v>
      </c>
      <c r="BC114" s="383">
        <f t="shared" si="236"/>
        <v>0</v>
      </c>
      <c r="BD114" s="383">
        <f t="shared" si="236"/>
        <v>0</v>
      </c>
      <c r="BE114" s="383">
        <f t="shared" si="236"/>
        <v>0</v>
      </c>
    </row>
    <row r="115" spans="1:64" s="209" customFormat="1" x14ac:dyDescent="0.15">
      <c r="A115" s="382" t="str">
        <f t="shared" si="206"/>
        <v>◆バリア同期待ち最少スレッド</v>
      </c>
      <c r="B115" s="383">
        <f t="shared" ref="B115:AG115" si="237">B19/$B$1/1000000000</f>
        <v>0</v>
      </c>
      <c r="C115" s="383">
        <f t="shared" si="237"/>
        <v>0</v>
      </c>
      <c r="D115" s="383">
        <f t="shared" si="237"/>
        <v>0</v>
      </c>
      <c r="E115" s="383">
        <f t="shared" si="237"/>
        <v>0</v>
      </c>
      <c r="F115" s="383">
        <f t="shared" si="237"/>
        <v>0</v>
      </c>
      <c r="G115" s="383">
        <f t="shared" si="237"/>
        <v>0</v>
      </c>
      <c r="H115" s="383">
        <f t="shared" si="237"/>
        <v>0</v>
      </c>
      <c r="I115" s="383">
        <f t="shared" si="237"/>
        <v>0</v>
      </c>
      <c r="J115" s="383">
        <f t="shared" si="237"/>
        <v>0</v>
      </c>
      <c r="K115" s="383">
        <f t="shared" si="237"/>
        <v>0</v>
      </c>
      <c r="L115" s="383">
        <f t="shared" si="237"/>
        <v>0</v>
      </c>
      <c r="M115" s="383">
        <f t="shared" si="237"/>
        <v>0</v>
      </c>
      <c r="N115" s="383">
        <f t="shared" si="237"/>
        <v>0</v>
      </c>
      <c r="O115" s="383">
        <f t="shared" si="237"/>
        <v>0</v>
      </c>
      <c r="P115" s="383">
        <f t="shared" si="237"/>
        <v>0</v>
      </c>
      <c r="Q115" s="383">
        <f t="shared" si="237"/>
        <v>0</v>
      </c>
      <c r="R115" s="383">
        <f t="shared" si="237"/>
        <v>0</v>
      </c>
      <c r="S115" s="383">
        <f t="shared" si="237"/>
        <v>0</v>
      </c>
      <c r="T115" s="383">
        <f t="shared" si="237"/>
        <v>0</v>
      </c>
      <c r="U115" s="383">
        <f t="shared" si="237"/>
        <v>0</v>
      </c>
      <c r="V115" s="383">
        <f t="shared" si="237"/>
        <v>0</v>
      </c>
      <c r="W115" s="383">
        <f t="shared" si="237"/>
        <v>0</v>
      </c>
      <c r="X115" s="383">
        <f t="shared" si="237"/>
        <v>0</v>
      </c>
      <c r="Y115" s="383">
        <f t="shared" si="237"/>
        <v>0</v>
      </c>
      <c r="Z115" s="383">
        <f t="shared" si="237"/>
        <v>0</v>
      </c>
      <c r="AA115" s="383">
        <f t="shared" si="237"/>
        <v>0</v>
      </c>
      <c r="AB115" s="383">
        <f t="shared" si="237"/>
        <v>0</v>
      </c>
      <c r="AC115" s="383">
        <f t="shared" si="237"/>
        <v>0</v>
      </c>
      <c r="AD115" s="383">
        <f t="shared" si="237"/>
        <v>0</v>
      </c>
      <c r="AE115" s="383">
        <f t="shared" si="237"/>
        <v>0</v>
      </c>
      <c r="AF115" s="383">
        <f t="shared" si="237"/>
        <v>0</v>
      </c>
      <c r="AG115" s="383">
        <f t="shared" si="237"/>
        <v>0</v>
      </c>
      <c r="AH115" s="383">
        <f t="shared" ref="AH115:BE115" si="238">AH19/$B$1/1000000000</f>
        <v>0</v>
      </c>
      <c r="AI115" s="383">
        <f t="shared" si="238"/>
        <v>0</v>
      </c>
      <c r="AJ115" s="383">
        <f t="shared" si="238"/>
        <v>0</v>
      </c>
      <c r="AK115" s="383">
        <f t="shared" si="238"/>
        <v>0</v>
      </c>
      <c r="AL115" s="383">
        <f t="shared" si="238"/>
        <v>0</v>
      </c>
      <c r="AM115" s="383">
        <f t="shared" si="238"/>
        <v>0</v>
      </c>
      <c r="AN115" s="383">
        <f t="shared" si="238"/>
        <v>0</v>
      </c>
      <c r="AO115" s="383">
        <f t="shared" si="238"/>
        <v>0</v>
      </c>
      <c r="AP115" s="383">
        <f t="shared" si="238"/>
        <v>0</v>
      </c>
      <c r="AQ115" s="383">
        <f t="shared" si="238"/>
        <v>0</v>
      </c>
      <c r="AR115" s="383">
        <f t="shared" si="238"/>
        <v>0</v>
      </c>
      <c r="AS115" s="383">
        <f t="shared" si="238"/>
        <v>0</v>
      </c>
      <c r="AT115" s="383">
        <f t="shared" si="238"/>
        <v>0</v>
      </c>
      <c r="AU115" s="383">
        <f t="shared" si="238"/>
        <v>0</v>
      </c>
      <c r="AV115" s="383">
        <f t="shared" si="238"/>
        <v>0</v>
      </c>
      <c r="AW115" s="383">
        <f t="shared" si="238"/>
        <v>0</v>
      </c>
      <c r="AX115" s="383">
        <f t="shared" si="204"/>
        <v>0</v>
      </c>
      <c r="AY115" s="383">
        <f t="shared" si="204"/>
        <v>0</v>
      </c>
      <c r="AZ115" s="383">
        <f t="shared" si="238"/>
        <v>0</v>
      </c>
      <c r="BA115" s="383">
        <f t="shared" si="205"/>
        <v>0</v>
      </c>
      <c r="BB115" s="383">
        <f t="shared" si="238"/>
        <v>0</v>
      </c>
      <c r="BC115" s="383">
        <f t="shared" si="238"/>
        <v>0</v>
      </c>
      <c r="BD115" s="383">
        <f t="shared" si="238"/>
        <v>0</v>
      </c>
      <c r="BE115" s="383">
        <f t="shared" si="238"/>
        <v>0</v>
      </c>
    </row>
    <row r="116" spans="1:64" s="209" customFormat="1" x14ac:dyDescent="0.15">
      <c r="A116" s="382" t="e">
        <f t="shared" si="206"/>
        <v>#N/A</v>
      </c>
      <c r="B116" s="383" t="e">
        <f t="shared" ref="B116:AG116" si="239">B20/$B$1/1000000000</f>
        <v>#N/A</v>
      </c>
      <c r="C116" s="383" t="e">
        <f t="shared" si="239"/>
        <v>#N/A</v>
      </c>
      <c r="D116" s="383" t="e">
        <f t="shared" si="239"/>
        <v>#N/A</v>
      </c>
      <c r="E116" s="383" t="e">
        <f t="shared" si="239"/>
        <v>#N/A</v>
      </c>
      <c r="F116" s="383" t="e">
        <f t="shared" si="239"/>
        <v>#N/A</v>
      </c>
      <c r="G116" s="383" t="e">
        <f t="shared" si="239"/>
        <v>#N/A</v>
      </c>
      <c r="H116" s="383" t="e">
        <f t="shared" si="239"/>
        <v>#N/A</v>
      </c>
      <c r="I116" s="383" t="e">
        <f t="shared" si="239"/>
        <v>#N/A</v>
      </c>
      <c r="J116" s="383" t="e">
        <f t="shared" si="239"/>
        <v>#N/A</v>
      </c>
      <c r="K116" s="383" t="e">
        <f t="shared" si="239"/>
        <v>#N/A</v>
      </c>
      <c r="L116" s="383" t="e">
        <f t="shared" si="239"/>
        <v>#N/A</v>
      </c>
      <c r="M116" s="383" t="e">
        <f t="shared" si="239"/>
        <v>#N/A</v>
      </c>
      <c r="N116" s="383" t="e">
        <f t="shared" si="239"/>
        <v>#N/A</v>
      </c>
      <c r="O116" s="383" t="e">
        <f t="shared" si="239"/>
        <v>#N/A</v>
      </c>
      <c r="P116" s="383" t="e">
        <f t="shared" si="239"/>
        <v>#N/A</v>
      </c>
      <c r="Q116" s="383" t="e">
        <f t="shared" si="239"/>
        <v>#N/A</v>
      </c>
      <c r="R116" s="383" t="e">
        <f t="shared" si="239"/>
        <v>#N/A</v>
      </c>
      <c r="S116" s="383" t="e">
        <f t="shared" si="239"/>
        <v>#N/A</v>
      </c>
      <c r="T116" s="383" t="e">
        <f t="shared" si="239"/>
        <v>#N/A</v>
      </c>
      <c r="U116" s="383" t="e">
        <f t="shared" si="239"/>
        <v>#N/A</v>
      </c>
      <c r="V116" s="383" t="e">
        <f t="shared" si="239"/>
        <v>#N/A</v>
      </c>
      <c r="W116" s="383" t="e">
        <f t="shared" si="239"/>
        <v>#N/A</v>
      </c>
      <c r="X116" s="383" t="e">
        <f t="shared" si="239"/>
        <v>#N/A</v>
      </c>
      <c r="Y116" s="383" t="e">
        <f t="shared" si="239"/>
        <v>#N/A</v>
      </c>
      <c r="Z116" s="383" t="e">
        <f t="shared" si="239"/>
        <v>#N/A</v>
      </c>
      <c r="AA116" s="383" t="e">
        <f t="shared" si="239"/>
        <v>#N/A</v>
      </c>
      <c r="AB116" s="383" t="e">
        <f t="shared" si="239"/>
        <v>#N/A</v>
      </c>
      <c r="AC116" s="383" t="e">
        <f t="shared" si="239"/>
        <v>#N/A</v>
      </c>
      <c r="AD116" s="383" t="e">
        <f t="shared" si="239"/>
        <v>#N/A</v>
      </c>
      <c r="AE116" s="383" t="e">
        <f t="shared" si="239"/>
        <v>#N/A</v>
      </c>
      <c r="AF116" s="383" t="e">
        <f t="shared" si="239"/>
        <v>#N/A</v>
      </c>
      <c r="AG116" s="383" t="e">
        <f t="shared" si="239"/>
        <v>#N/A</v>
      </c>
      <c r="AH116" s="383" t="e">
        <f t="shared" ref="AH116:BE116" si="240">AH20/$B$1/1000000000</f>
        <v>#N/A</v>
      </c>
      <c r="AI116" s="383" t="e">
        <f t="shared" si="240"/>
        <v>#N/A</v>
      </c>
      <c r="AJ116" s="383" t="e">
        <f t="shared" si="240"/>
        <v>#N/A</v>
      </c>
      <c r="AK116" s="383" t="e">
        <f t="shared" si="240"/>
        <v>#N/A</v>
      </c>
      <c r="AL116" s="383" t="e">
        <f t="shared" si="240"/>
        <v>#N/A</v>
      </c>
      <c r="AM116" s="383" t="e">
        <f t="shared" si="240"/>
        <v>#N/A</v>
      </c>
      <c r="AN116" s="383" t="e">
        <f t="shared" si="240"/>
        <v>#N/A</v>
      </c>
      <c r="AO116" s="383" t="e">
        <f t="shared" si="240"/>
        <v>#N/A</v>
      </c>
      <c r="AP116" s="383" t="e">
        <f t="shared" si="240"/>
        <v>#N/A</v>
      </c>
      <c r="AQ116" s="383" t="e">
        <f t="shared" si="240"/>
        <v>#N/A</v>
      </c>
      <c r="AR116" s="383" t="e">
        <f t="shared" si="240"/>
        <v>#N/A</v>
      </c>
      <c r="AS116" s="383" t="e">
        <f t="shared" si="240"/>
        <v>#N/A</v>
      </c>
      <c r="AT116" s="383" t="e">
        <f t="shared" si="240"/>
        <v>#N/A</v>
      </c>
      <c r="AU116" s="383" t="e">
        <f t="shared" si="240"/>
        <v>#N/A</v>
      </c>
      <c r="AV116" s="383" t="e">
        <f t="shared" si="240"/>
        <v>#N/A</v>
      </c>
      <c r="AW116" s="383" t="e">
        <f t="shared" si="240"/>
        <v>#N/A</v>
      </c>
      <c r="AX116" s="383" t="e">
        <f t="shared" si="204"/>
        <v>#N/A</v>
      </c>
      <c r="AY116" s="383" t="e">
        <f t="shared" si="204"/>
        <v>#N/A</v>
      </c>
      <c r="AZ116" s="383" t="e">
        <f t="shared" si="240"/>
        <v>#N/A</v>
      </c>
      <c r="BA116" s="383" t="e">
        <f t="shared" si="205"/>
        <v>#N/A</v>
      </c>
      <c r="BB116" s="383" t="e">
        <f t="shared" si="240"/>
        <v>#N/A</v>
      </c>
      <c r="BC116" s="383" t="e">
        <f t="shared" si="240"/>
        <v>#N/A</v>
      </c>
      <c r="BD116" s="383" t="e">
        <f t="shared" si="240"/>
        <v>#N/A</v>
      </c>
      <c r="BE116" s="383" t="e">
        <f t="shared" si="240"/>
        <v>#N/A</v>
      </c>
    </row>
    <row r="117" spans="1:64" s="209" customFormat="1" x14ac:dyDescent="0.15">
      <c r="A117" s="382">
        <f t="shared" si="206"/>
        <v>0</v>
      </c>
      <c r="B117" s="383">
        <f t="shared" ref="B117:AG117" si="241">B21/$B$1/1000000000</f>
        <v>0</v>
      </c>
      <c r="C117" s="383">
        <f t="shared" si="241"/>
        <v>0</v>
      </c>
      <c r="D117" s="383">
        <f t="shared" si="241"/>
        <v>0</v>
      </c>
      <c r="E117" s="383">
        <f t="shared" si="241"/>
        <v>0</v>
      </c>
      <c r="F117" s="383">
        <f t="shared" si="241"/>
        <v>0</v>
      </c>
      <c r="G117" s="383">
        <f t="shared" si="241"/>
        <v>0</v>
      </c>
      <c r="H117" s="383">
        <f t="shared" si="241"/>
        <v>0</v>
      </c>
      <c r="I117" s="383">
        <f t="shared" si="241"/>
        <v>0</v>
      </c>
      <c r="J117" s="383">
        <f t="shared" si="241"/>
        <v>0</v>
      </c>
      <c r="K117" s="383">
        <f t="shared" si="241"/>
        <v>0</v>
      </c>
      <c r="L117" s="383">
        <f t="shared" si="241"/>
        <v>0</v>
      </c>
      <c r="M117" s="383">
        <f t="shared" si="241"/>
        <v>0</v>
      </c>
      <c r="N117" s="383">
        <f t="shared" si="241"/>
        <v>0</v>
      </c>
      <c r="O117" s="383">
        <f t="shared" si="241"/>
        <v>0</v>
      </c>
      <c r="P117" s="383">
        <f t="shared" si="241"/>
        <v>0</v>
      </c>
      <c r="Q117" s="383">
        <f t="shared" si="241"/>
        <v>0</v>
      </c>
      <c r="R117" s="383">
        <f t="shared" si="241"/>
        <v>0</v>
      </c>
      <c r="S117" s="383">
        <f t="shared" si="241"/>
        <v>0</v>
      </c>
      <c r="T117" s="383">
        <f t="shared" si="241"/>
        <v>0</v>
      </c>
      <c r="U117" s="383">
        <f t="shared" si="241"/>
        <v>0</v>
      </c>
      <c r="V117" s="383">
        <f t="shared" si="241"/>
        <v>0</v>
      </c>
      <c r="W117" s="383">
        <f t="shared" si="241"/>
        <v>0</v>
      </c>
      <c r="X117" s="383">
        <f t="shared" si="241"/>
        <v>0</v>
      </c>
      <c r="Y117" s="383">
        <f t="shared" si="241"/>
        <v>0</v>
      </c>
      <c r="Z117" s="383">
        <f t="shared" si="241"/>
        <v>0</v>
      </c>
      <c r="AA117" s="383">
        <f t="shared" si="241"/>
        <v>0</v>
      </c>
      <c r="AB117" s="383">
        <f t="shared" si="241"/>
        <v>0</v>
      </c>
      <c r="AC117" s="383">
        <f t="shared" si="241"/>
        <v>0</v>
      </c>
      <c r="AD117" s="383">
        <f t="shared" si="241"/>
        <v>0</v>
      </c>
      <c r="AE117" s="383">
        <f t="shared" si="241"/>
        <v>0</v>
      </c>
      <c r="AF117" s="383">
        <f t="shared" si="241"/>
        <v>0</v>
      </c>
      <c r="AG117" s="383">
        <f t="shared" si="241"/>
        <v>0</v>
      </c>
      <c r="AH117" s="383">
        <f t="shared" ref="AH117:BE117" si="242">AH21/$B$1/1000000000</f>
        <v>0</v>
      </c>
      <c r="AI117" s="383">
        <f t="shared" si="242"/>
        <v>0</v>
      </c>
      <c r="AJ117" s="383">
        <f t="shared" si="242"/>
        <v>0</v>
      </c>
      <c r="AK117" s="383">
        <f t="shared" si="242"/>
        <v>0</v>
      </c>
      <c r="AL117" s="383">
        <f t="shared" si="242"/>
        <v>0</v>
      </c>
      <c r="AM117" s="383">
        <f t="shared" si="242"/>
        <v>0</v>
      </c>
      <c r="AN117" s="383">
        <f t="shared" si="242"/>
        <v>0</v>
      </c>
      <c r="AO117" s="383">
        <f t="shared" si="242"/>
        <v>0</v>
      </c>
      <c r="AP117" s="383">
        <f t="shared" si="242"/>
        <v>0</v>
      </c>
      <c r="AQ117" s="383">
        <f t="shared" si="242"/>
        <v>0</v>
      </c>
      <c r="AR117" s="383">
        <f t="shared" si="242"/>
        <v>0</v>
      </c>
      <c r="AS117" s="383">
        <f t="shared" si="242"/>
        <v>0</v>
      </c>
      <c r="AT117" s="383">
        <f t="shared" si="242"/>
        <v>0</v>
      </c>
      <c r="AU117" s="383">
        <f t="shared" si="242"/>
        <v>0</v>
      </c>
      <c r="AV117" s="383">
        <f t="shared" si="242"/>
        <v>0</v>
      </c>
      <c r="AW117" s="383">
        <f t="shared" si="242"/>
        <v>0</v>
      </c>
      <c r="AX117" s="383">
        <f t="shared" si="204"/>
        <v>0</v>
      </c>
      <c r="AY117" s="383">
        <f t="shared" si="204"/>
        <v>0</v>
      </c>
      <c r="AZ117" s="383">
        <f t="shared" si="242"/>
        <v>0</v>
      </c>
      <c r="BA117" s="383">
        <f t="shared" si="205"/>
        <v>0</v>
      </c>
      <c r="BB117" s="383">
        <f t="shared" si="242"/>
        <v>0</v>
      </c>
      <c r="BC117" s="383">
        <f t="shared" si="242"/>
        <v>0</v>
      </c>
      <c r="BD117" s="383">
        <f t="shared" si="242"/>
        <v>0</v>
      </c>
      <c r="BE117" s="383">
        <f t="shared" si="242"/>
        <v>0</v>
      </c>
    </row>
    <row r="118" spans="1:64" s="209" customFormat="1" x14ac:dyDescent="0.15">
      <c r="A118" s="382">
        <f t="shared" si="206"/>
        <v>0</v>
      </c>
      <c r="B118" s="383">
        <f t="shared" ref="B118:AG118" si="243">B22/$B$1/1000000000</f>
        <v>0</v>
      </c>
      <c r="C118" s="383">
        <f t="shared" si="243"/>
        <v>0</v>
      </c>
      <c r="D118" s="383">
        <f t="shared" si="243"/>
        <v>0</v>
      </c>
      <c r="E118" s="383">
        <f t="shared" si="243"/>
        <v>0</v>
      </c>
      <c r="F118" s="383">
        <f t="shared" si="243"/>
        <v>0</v>
      </c>
      <c r="G118" s="383">
        <f t="shared" si="243"/>
        <v>0</v>
      </c>
      <c r="H118" s="383">
        <f t="shared" si="243"/>
        <v>0</v>
      </c>
      <c r="I118" s="383">
        <f t="shared" si="243"/>
        <v>0</v>
      </c>
      <c r="J118" s="383">
        <f t="shared" si="243"/>
        <v>0</v>
      </c>
      <c r="K118" s="383">
        <f t="shared" si="243"/>
        <v>0</v>
      </c>
      <c r="L118" s="383">
        <f t="shared" si="243"/>
        <v>0</v>
      </c>
      <c r="M118" s="383">
        <f t="shared" si="243"/>
        <v>0</v>
      </c>
      <c r="N118" s="383">
        <f t="shared" si="243"/>
        <v>0</v>
      </c>
      <c r="O118" s="383">
        <f t="shared" si="243"/>
        <v>0</v>
      </c>
      <c r="P118" s="383">
        <f t="shared" si="243"/>
        <v>0</v>
      </c>
      <c r="Q118" s="383">
        <f t="shared" si="243"/>
        <v>0</v>
      </c>
      <c r="R118" s="383">
        <f t="shared" si="243"/>
        <v>0</v>
      </c>
      <c r="S118" s="383">
        <f t="shared" si="243"/>
        <v>0</v>
      </c>
      <c r="T118" s="383">
        <f t="shared" si="243"/>
        <v>0</v>
      </c>
      <c r="U118" s="383">
        <f t="shared" si="243"/>
        <v>0</v>
      </c>
      <c r="V118" s="383">
        <f t="shared" si="243"/>
        <v>0</v>
      </c>
      <c r="W118" s="383">
        <f t="shared" si="243"/>
        <v>0</v>
      </c>
      <c r="X118" s="383">
        <f t="shared" si="243"/>
        <v>0</v>
      </c>
      <c r="Y118" s="383">
        <f t="shared" si="243"/>
        <v>0</v>
      </c>
      <c r="Z118" s="383">
        <f t="shared" si="243"/>
        <v>0</v>
      </c>
      <c r="AA118" s="383">
        <f t="shared" si="243"/>
        <v>0</v>
      </c>
      <c r="AB118" s="383">
        <f t="shared" si="243"/>
        <v>0</v>
      </c>
      <c r="AC118" s="383">
        <f t="shared" si="243"/>
        <v>0</v>
      </c>
      <c r="AD118" s="383">
        <f t="shared" si="243"/>
        <v>0</v>
      </c>
      <c r="AE118" s="383">
        <f t="shared" si="243"/>
        <v>0</v>
      </c>
      <c r="AF118" s="383">
        <f t="shared" si="243"/>
        <v>0</v>
      </c>
      <c r="AG118" s="383">
        <f t="shared" si="243"/>
        <v>0</v>
      </c>
      <c r="AH118" s="383">
        <f t="shared" ref="AH118:BE118" si="244">AH22/$B$1/1000000000</f>
        <v>0</v>
      </c>
      <c r="AI118" s="383">
        <f t="shared" si="244"/>
        <v>0</v>
      </c>
      <c r="AJ118" s="383">
        <f t="shared" si="244"/>
        <v>0</v>
      </c>
      <c r="AK118" s="383">
        <f t="shared" si="244"/>
        <v>0</v>
      </c>
      <c r="AL118" s="383">
        <f t="shared" si="244"/>
        <v>0</v>
      </c>
      <c r="AM118" s="383">
        <f t="shared" si="244"/>
        <v>0</v>
      </c>
      <c r="AN118" s="383">
        <f t="shared" si="244"/>
        <v>0</v>
      </c>
      <c r="AO118" s="383">
        <f t="shared" si="244"/>
        <v>0</v>
      </c>
      <c r="AP118" s="383">
        <f t="shared" si="244"/>
        <v>0</v>
      </c>
      <c r="AQ118" s="383">
        <f t="shared" si="244"/>
        <v>0</v>
      </c>
      <c r="AR118" s="383">
        <f t="shared" si="244"/>
        <v>0</v>
      </c>
      <c r="AS118" s="383">
        <f t="shared" si="244"/>
        <v>0</v>
      </c>
      <c r="AT118" s="383">
        <f t="shared" si="244"/>
        <v>0</v>
      </c>
      <c r="AU118" s="383">
        <f t="shared" si="244"/>
        <v>0</v>
      </c>
      <c r="AV118" s="383">
        <f t="shared" si="244"/>
        <v>0</v>
      </c>
      <c r="AW118" s="383">
        <f t="shared" si="244"/>
        <v>0</v>
      </c>
      <c r="AX118" s="383">
        <f t="shared" si="204"/>
        <v>0</v>
      </c>
      <c r="AY118" s="383">
        <f t="shared" si="204"/>
        <v>0</v>
      </c>
      <c r="AZ118" s="383">
        <f t="shared" si="244"/>
        <v>0</v>
      </c>
      <c r="BA118" s="383">
        <f t="shared" si="205"/>
        <v>0</v>
      </c>
      <c r="BB118" s="383">
        <f t="shared" si="244"/>
        <v>0</v>
      </c>
      <c r="BC118" s="383">
        <f t="shared" si="244"/>
        <v>0</v>
      </c>
      <c r="BD118" s="383">
        <f t="shared" si="244"/>
        <v>0</v>
      </c>
      <c r="BE118" s="383">
        <f t="shared" si="244"/>
        <v>0</v>
      </c>
    </row>
    <row r="119" spans="1:64" s="209" customFormat="1" ht="12" thickBot="1" x14ac:dyDescent="0.2">
      <c r="A119" s="387"/>
      <c r="B119" s="386"/>
      <c r="C119" s="386"/>
      <c r="D119" s="386"/>
      <c r="E119" s="386"/>
      <c r="F119" s="386"/>
      <c r="G119" s="386"/>
      <c r="H119" s="386"/>
      <c r="I119" s="386"/>
      <c r="J119" s="386"/>
      <c r="K119" s="386"/>
      <c r="L119" s="386"/>
      <c r="M119" s="386"/>
      <c r="N119" s="386"/>
      <c r="O119" s="386"/>
      <c r="P119" s="386"/>
      <c r="Q119" s="386"/>
      <c r="R119" s="386"/>
      <c r="S119" s="386"/>
      <c r="T119" s="386"/>
      <c r="U119" s="386"/>
      <c r="V119" s="386"/>
      <c r="W119" s="386"/>
      <c r="X119" s="386"/>
      <c r="Y119" s="386"/>
      <c r="Z119" s="386"/>
      <c r="AA119" s="386"/>
      <c r="AB119" s="386"/>
      <c r="AC119" s="386"/>
      <c r="AD119" s="386"/>
      <c r="AE119" s="386"/>
      <c r="AF119" s="386"/>
      <c r="AG119" s="386"/>
      <c r="AH119" s="386"/>
      <c r="AI119" s="386"/>
      <c r="AJ119" s="386"/>
      <c r="AK119" s="386"/>
      <c r="AL119" s="386"/>
      <c r="AM119" s="386"/>
      <c r="AN119" s="386"/>
      <c r="AO119" s="386"/>
      <c r="AP119" s="386"/>
      <c r="AQ119" s="386"/>
      <c r="AR119" s="386"/>
      <c r="AS119" s="386"/>
      <c r="AT119" s="386"/>
      <c r="AU119" s="386"/>
      <c r="AV119" s="386"/>
      <c r="AW119" s="386"/>
      <c r="AX119" s="386"/>
      <c r="AY119" s="386"/>
      <c r="AZ119" s="386"/>
      <c r="BA119" s="386"/>
      <c r="BB119" s="386"/>
      <c r="BC119" s="386"/>
      <c r="BD119" s="386"/>
      <c r="BE119" s="386"/>
    </row>
    <row r="120" spans="1:64" ht="12" thickBot="1" x14ac:dyDescent="0.2">
      <c r="A120" s="392" t="s">
        <v>52</v>
      </c>
      <c r="B120" s="376"/>
      <c r="I120" s="348"/>
      <c r="K120" s="376"/>
      <c r="L120" s="376"/>
      <c r="M120" s="376"/>
      <c r="N120" s="376"/>
      <c r="O120" s="376"/>
      <c r="P120" s="393">
        <v>0</v>
      </c>
      <c r="R120" s="376"/>
      <c r="S120" s="376"/>
      <c r="T120" s="376"/>
      <c r="U120" s="376"/>
      <c r="V120" s="376"/>
      <c r="W120" s="376"/>
      <c r="X120" s="376"/>
      <c r="Y120" s="376"/>
    </row>
    <row r="121" spans="1:64" x14ac:dyDescent="0.15">
      <c r="A121" s="208"/>
      <c r="B121" s="168" t="str">
        <f>B25</f>
        <v>整数ロードメモリアクセス待ち</v>
      </c>
      <c r="C121" s="168" t="str">
        <f t="shared" ref="C121:S121" si="245">C25</f>
        <v>浮動小数点ロードメモリアクセス待ち</v>
      </c>
      <c r="D121" s="168" t="str">
        <f t="shared" si="245"/>
        <v>ストア待ち</v>
      </c>
      <c r="E121" s="169" t="str">
        <f t="shared" si="245"/>
        <v>I/Oアクセス待ち</v>
      </c>
      <c r="F121" s="170" t="str">
        <f t="shared" si="245"/>
        <v>整数ロードキャッシュアクセス待ち</v>
      </c>
      <c r="G121" s="170" t="str">
        <f t="shared" si="245"/>
        <v>浮動小数点ロードキャッシュアクセス待ち</v>
      </c>
      <c r="H121" s="171" t="str">
        <f t="shared" si="245"/>
        <v>整数演算待ち</v>
      </c>
      <c r="I121" s="171" t="str">
        <f t="shared" si="245"/>
        <v>浮動小数点演算待ち</v>
      </c>
      <c r="J121" s="169" t="str">
        <f t="shared" si="245"/>
        <v>分岐命令待ち</v>
      </c>
      <c r="K121" s="169" t="str">
        <f t="shared" si="245"/>
        <v>命令フェッチ待ち</v>
      </c>
      <c r="L121" s="169" t="str">
        <f t="shared" si="245"/>
        <v>バリア同期待ち</v>
      </c>
      <c r="M121" s="169" t="str">
        <f t="shared" si="245"/>
        <v>uOPコミット</v>
      </c>
      <c r="N121" s="169" t="str">
        <f t="shared" si="245"/>
        <v>その他の待ち</v>
      </c>
      <c r="O121" s="169" t="str">
        <f t="shared" si="245"/>
        <v>1命令コミット</v>
      </c>
      <c r="P121" s="169" t="str">
        <f t="shared" si="245"/>
        <v>整数レジスタ書き込み制約</v>
      </c>
      <c r="Q121" s="169" t="str">
        <f t="shared" si="245"/>
        <v>浮動小数点レジスタ書き込み制約</v>
      </c>
      <c r="R121" s="169" t="str">
        <f t="shared" si="245"/>
        <v>2/3命令コミット(その他)</v>
      </c>
      <c r="S121" s="169" t="str">
        <f t="shared" si="245"/>
        <v>4命令コミット</v>
      </c>
      <c r="T121" s="208" t="str">
        <f>T25</f>
        <v>total</v>
      </c>
      <c r="U121" s="169" t="s">
        <v>39</v>
      </c>
      <c r="V121" s="169" t="s">
        <v>40</v>
      </c>
    </row>
    <row r="122" spans="1:64" x14ac:dyDescent="0.15">
      <c r="A122" s="400" t="str">
        <f>A99</f>
        <v>Thread 0</v>
      </c>
      <c r="B122" s="383">
        <f>D99</f>
        <v>0</v>
      </c>
      <c r="C122" s="383">
        <f>C99-D99</f>
        <v>0</v>
      </c>
      <c r="D122" s="383">
        <f>N99</f>
        <v>0</v>
      </c>
      <c r="E122" s="383">
        <f>E99</f>
        <v>0</v>
      </c>
      <c r="F122" s="383">
        <f t="shared" ref="F122:F131" si="246">F99-B122-E122</f>
        <v>0</v>
      </c>
      <c r="G122" s="383">
        <f t="shared" ref="G122:G131" si="247">G99-SUM(B122:F122)+D122</f>
        <v>0</v>
      </c>
      <c r="H122" s="383">
        <f>K99-O99</f>
        <v>0</v>
      </c>
      <c r="I122" s="383">
        <f>O99</f>
        <v>0</v>
      </c>
      <c r="J122" s="383">
        <f>L99</f>
        <v>0</v>
      </c>
      <c r="K122" s="383">
        <f>J99-N99-P99</f>
        <v>0</v>
      </c>
      <c r="L122" s="383">
        <f>P99</f>
        <v>0</v>
      </c>
      <c r="M122" s="383">
        <f t="shared" ref="M122:M141" si="248">AD99-I99-BC99-BD99</f>
        <v>0</v>
      </c>
      <c r="N122" s="383">
        <f t="shared" ref="N122:N141" si="249">U99-SUM(B122:M122)</f>
        <v>0</v>
      </c>
      <c r="O122" s="383">
        <f>X99</f>
        <v>0</v>
      </c>
      <c r="P122" s="383">
        <f>R99</f>
        <v>0</v>
      </c>
      <c r="Q122" s="383">
        <f>$P$120</f>
        <v>0</v>
      </c>
      <c r="R122" s="383">
        <f t="shared" ref="R122:R141" si="250">SUM(V99,Y99)-SUM(P122:Q122)</f>
        <v>0</v>
      </c>
      <c r="S122" s="383">
        <f t="shared" ref="S122:S141" si="251">B99-SUM(U99:V99,X99:Y99)</f>
        <v>0</v>
      </c>
      <c r="T122" s="383">
        <f t="shared" ref="T122:T141" si="252">SUM(B122:S122)</f>
        <v>0</v>
      </c>
      <c r="U122" s="384" t="e">
        <f t="shared" ref="U122:U141" si="253">(S3+T3*2+AI3*2+AJ3*4)/1000000/T122</f>
        <v>#DIV/0!</v>
      </c>
      <c r="V122" s="384" t="e">
        <f t="shared" ref="V122:V141" si="254">I3/1000000/T122</f>
        <v>#DIV/0!</v>
      </c>
      <c r="AC122" s="376"/>
    </row>
    <row r="123" spans="1:64" x14ac:dyDescent="0.15">
      <c r="A123" s="400" t="str">
        <f t="shared" ref="A123:A141" si="255">A100</f>
        <v>Thread 1</v>
      </c>
      <c r="B123" s="383">
        <f t="shared" ref="B123:B131" si="256">D100</f>
        <v>0</v>
      </c>
      <c r="C123" s="383">
        <f t="shared" ref="C123:C131" si="257">C100-D100</f>
        <v>0</v>
      </c>
      <c r="D123" s="383">
        <f t="shared" ref="D123:D131" si="258">N100</f>
        <v>0</v>
      </c>
      <c r="E123" s="383">
        <f t="shared" ref="E123:E141" si="259">E100</f>
        <v>0</v>
      </c>
      <c r="F123" s="383">
        <f t="shared" si="246"/>
        <v>0</v>
      </c>
      <c r="G123" s="383">
        <f t="shared" si="247"/>
        <v>0</v>
      </c>
      <c r="H123" s="383">
        <f t="shared" ref="H123:H131" si="260">K100-O100</f>
        <v>0</v>
      </c>
      <c r="I123" s="383">
        <f t="shared" ref="I123:I131" si="261">O100</f>
        <v>0</v>
      </c>
      <c r="J123" s="383">
        <f t="shared" ref="J123:J131" si="262">L100</f>
        <v>0</v>
      </c>
      <c r="K123" s="383">
        <f t="shared" ref="K123:K141" si="263">J100-N100-P100</f>
        <v>0</v>
      </c>
      <c r="L123" s="383">
        <f t="shared" ref="L123:L141" si="264">P100</f>
        <v>0</v>
      </c>
      <c r="M123" s="383">
        <f t="shared" si="248"/>
        <v>0</v>
      </c>
      <c r="N123" s="383">
        <f t="shared" si="249"/>
        <v>0</v>
      </c>
      <c r="O123" s="383">
        <f t="shared" ref="O123:O131" si="265">X100</f>
        <v>0</v>
      </c>
      <c r="P123" s="383">
        <f t="shared" ref="P123:P131" si="266">R100</f>
        <v>0</v>
      </c>
      <c r="Q123" s="383">
        <f t="shared" ref="Q123:Q141" si="267">$P$120</f>
        <v>0</v>
      </c>
      <c r="R123" s="383">
        <f t="shared" si="250"/>
        <v>0</v>
      </c>
      <c r="S123" s="383">
        <f t="shared" si="251"/>
        <v>0</v>
      </c>
      <c r="T123" s="383">
        <f t="shared" si="252"/>
        <v>0</v>
      </c>
      <c r="U123" s="384" t="e">
        <f t="shared" si="253"/>
        <v>#DIV/0!</v>
      </c>
      <c r="V123" s="384" t="e">
        <f t="shared" si="254"/>
        <v>#DIV/0!</v>
      </c>
      <c r="AC123" s="376"/>
    </row>
    <row r="124" spans="1:64" x14ac:dyDescent="0.15">
      <c r="A124" s="400" t="str">
        <f t="shared" si="255"/>
        <v>Thread 2</v>
      </c>
      <c r="B124" s="383">
        <f t="shared" si="256"/>
        <v>0</v>
      </c>
      <c r="C124" s="383">
        <f t="shared" si="257"/>
        <v>0</v>
      </c>
      <c r="D124" s="383">
        <f t="shared" si="258"/>
        <v>0</v>
      </c>
      <c r="E124" s="383">
        <f t="shared" si="259"/>
        <v>0</v>
      </c>
      <c r="F124" s="383">
        <f t="shared" si="246"/>
        <v>0</v>
      </c>
      <c r="G124" s="383">
        <f t="shared" si="247"/>
        <v>0</v>
      </c>
      <c r="H124" s="383">
        <f t="shared" si="260"/>
        <v>0</v>
      </c>
      <c r="I124" s="383">
        <f t="shared" si="261"/>
        <v>0</v>
      </c>
      <c r="J124" s="383">
        <f t="shared" si="262"/>
        <v>0</v>
      </c>
      <c r="K124" s="383">
        <f t="shared" si="263"/>
        <v>0</v>
      </c>
      <c r="L124" s="383">
        <f t="shared" si="264"/>
        <v>0</v>
      </c>
      <c r="M124" s="383">
        <f t="shared" si="248"/>
        <v>0</v>
      </c>
      <c r="N124" s="383">
        <f t="shared" si="249"/>
        <v>0</v>
      </c>
      <c r="O124" s="383">
        <f t="shared" si="265"/>
        <v>0</v>
      </c>
      <c r="P124" s="383">
        <f t="shared" si="266"/>
        <v>0</v>
      </c>
      <c r="Q124" s="383">
        <f t="shared" si="267"/>
        <v>0</v>
      </c>
      <c r="R124" s="383">
        <f t="shared" si="250"/>
        <v>0</v>
      </c>
      <c r="S124" s="383">
        <f t="shared" si="251"/>
        <v>0</v>
      </c>
      <c r="T124" s="383">
        <f t="shared" si="252"/>
        <v>0</v>
      </c>
      <c r="U124" s="384" t="e">
        <f t="shared" si="253"/>
        <v>#DIV/0!</v>
      </c>
      <c r="V124" s="384" t="e">
        <f t="shared" si="254"/>
        <v>#DIV/0!</v>
      </c>
      <c r="AC124" s="376"/>
    </row>
    <row r="125" spans="1:64" x14ac:dyDescent="0.15">
      <c r="A125" s="400" t="str">
        <f t="shared" si="255"/>
        <v>Thread 3</v>
      </c>
      <c r="B125" s="383">
        <f t="shared" si="256"/>
        <v>0</v>
      </c>
      <c r="C125" s="383">
        <f t="shared" si="257"/>
        <v>0</v>
      </c>
      <c r="D125" s="383">
        <f t="shared" si="258"/>
        <v>0</v>
      </c>
      <c r="E125" s="383">
        <f t="shared" si="259"/>
        <v>0</v>
      </c>
      <c r="F125" s="383">
        <f t="shared" si="246"/>
        <v>0</v>
      </c>
      <c r="G125" s="383">
        <f t="shared" si="247"/>
        <v>0</v>
      </c>
      <c r="H125" s="383">
        <f t="shared" si="260"/>
        <v>0</v>
      </c>
      <c r="I125" s="383">
        <f t="shared" si="261"/>
        <v>0</v>
      </c>
      <c r="J125" s="383">
        <f t="shared" si="262"/>
        <v>0</v>
      </c>
      <c r="K125" s="383">
        <f t="shared" si="263"/>
        <v>0</v>
      </c>
      <c r="L125" s="383">
        <f t="shared" si="264"/>
        <v>0</v>
      </c>
      <c r="M125" s="383">
        <f t="shared" si="248"/>
        <v>0</v>
      </c>
      <c r="N125" s="383">
        <f t="shared" si="249"/>
        <v>0</v>
      </c>
      <c r="O125" s="383">
        <f t="shared" si="265"/>
        <v>0</v>
      </c>
      <c r="P125" s="383">
        <f t="shared" si="266"/>
        <v>0</v>
      </c>
      <c r="Q125" s="383">
        <f t="shared" si="267"/>
        <v>0</v>
      </c>
      <c r="R125" s="383">
        <f t="shared" si="250"/>
        <v>0</v>
      </c>
      <c r="S125" s="383">
        <f t="shared" si="251"/>
        <v>0</v>
      </c>
      <c r="T125" s="383">
        <f t="shared" si="252"/>
        <v>0</v>
      </c>
      <c r="U125" s="384" t="e">
        <f t="shared" si="253"/>
        <v>#DIV/0!</v>
      </c>
      <c r="V125" s="384" t="e">
        <f t="shared" si="254"/>
        <v>#DIV/0!</v>
      </c>
    </row>
    <row r="126" spans="1:64" x14ac:dyDescent="0.15">
      <c r="A126" s="400" t="str">
        <f t="shared" si="255"/>
        <v>Thread 4</v>
      </c>
      <c r="B126" s="383">
        <f t="shared" si="256"/>
        <v>0</v>
      </c>
      <c r="C126" s="383">
        <f t="shared" si="257"/>
        <v>0</v>
      </c>
      <c r="D126" s="383">
        <f t="shared" si="258"/>
        <v>0</v>
      </c>
      <c r="E126" s="383">
        <f t="shared" si="259"/>
        <v>0</v>
      </c>
      <c r="F126" s="383">
        <f t="shared" si="246"/>
        <v>0</v>
      </c>
      <c r="G126" s="383">
        <f t="shared" si="247"/>
        <v>0</v>
      </c>
      <c r="H126" s="383">
        <f t="shared" si="260"/>
        <v>0</v>
      </c>
      <c r="I126" s="383">
        <f t="shared" si="261"/>
        <v>0</v>
      </c>
      <c r="J126" s="383">
        <f t="shared" si="262"/>
        <v>0</v>
      </c>
      <c r="K126" s="383">
        <f t="shared" si="263"/>
        <v>0</v>
      </c>
      <c r="L126" s="383">
        <f t="shared" si="264"/>
        <v>0</v>
      </c>
      <c r="M126" s="383">
        <f t="shared" si="248"/>
        <v>0</v>
      </c>
      <c r="N126" s="383">
        <f t="shared" si="249"/>
        <v>0</v>
      </c>
      <c r="O126" s="383">
        <f t="shared" si="265"/>
        <v>0</v>
      </c>
      <c r="P126" s="383">
        <f t="shared" si="266"/>
        <v>0</v>
      </c>
      <c r="Q126" s="383">
        <f t="shared" si="267"/>
        <v>0</v>
      </c>
      <c r="R126" s="383">
        <f t="shared" si="250"/>
        <v>0</v>
      </c>
      <c r="S126" s="383">
        <f t="shared" si="251"/>
        <v>0</v>
      </c>
      <c r="T126" s="383">
        <f t="shared" si="252"/>
        <v>0</v>
      </c>
      <c r="U126" s="384" t="e">
        <f t="shared" si="253"/>
        <v>#DIV/0!</v>
      </c>
      <c r="V126" s="384" t="e">
        <f t="shared" si="254"/>
        <v>#DIV/0!</v>
      </c>
      <c r="W126" s="401"/>
      <c r="X126" s="376"/>
      <c r="Y126" s="376"/>
      <c r="Z126" s="376"/>
      <c r="AA126" s="376"/>
      <c r="AB126" s="376"/>
      <c r="AC126" s="376"/>
      <c r="AD126" s="376"/>
      <c r="AE126" s="376"/>
      <c r="AF126" s="376"/>
      <c r="AG126" s="376"/>
      <c r="AH126" s="376"/>
      <c r="AI126" s="376"/>
      <c r="AJ126" s="376"/>
      <c r="AK126" s="376"/>
      <c r="AL126" s="376"/>
      <c r="AM126" s="376"/>
      <c r="AN126" s="376"/>
      <c r="AO126" s="376"/>
      <c r="AP126" s="376"/>
      <c r="AQ126" s="376"/>
      <c r="AR126" s="376"/>
      <c r="AS126" s="376"/>
      <c r="AT126" s="376"/>
      <c r="AU126" s="376"/>
      <c r="AV126" s="376"/>
      <c r="AW126" s="376"/>
      <c r="AX126" s="376"/>
      <c r="AY126" s="376"/>
      <c r="AZ126" s="376"/>
      <c r="BA126" s="376"/>
      <c r="BB126" s="376"/>
      <c r="BC126" s="376"/>
      <c r="BD126" s="376"/>
      <c r="BE126" s="376"/>
      <c r="BF126" s="376"/>
      <c r="BG126" s="376"/>
      <c r="BI126" s="376"/>
      <c r="BJ126" s="376"/>
      <c r="BK126" s="376"/>
      <c r="BL126" s="376"/>
    </row>
    <row r="127" spans="1:64" x14ac:dyDescent="0.15">
      <c r="A127" s="400" t="str">
        <f t="shared" si="255"/>
        <v>Thread 5</v>
      </c>
      <c r="B127" s="383">
        <f t="shared" si="256"/>
        <v>0</v>
      </c>
      <c r="C127" s="383">
        <f t="shared" si="257"/>
        <v>0</v>
      </c>
      <c r="D127" s="383">
        <f t="shared" si="258"/>
        <v>0</v>
      </c>
      <c r="E127" s="383">
        <f t="shared" si="259"/>
        <v>0</v>
      </c>
      <c r="F127" s="383">
        <f t="shared" si="246"/>
        <v>0</v>
      </c>
      <c r="G127" s="383">
        <f t="shared" si="247"/>
        <v>0</v>
      </c>
      <c r="H127" s="383">
        <f t="shared" si="260"/>
        <v>0</v>
      </c>
      <c r="I127" s="383">
        <f t="shared" si="261"/>
        <v>0</v>
      </c>
      <c r="J127" s="383">
        <f t="shared" si="262"/>
        <v>0</v>
      </c>
      <c r="K127" s="383">
        <f t="shared" si="263"/>
        <v>0</v>
      </c>
      <c r="L127" s="383">
        <f t="shared" si="264"/>
        <v>0</v>
      </c>
      <c r="M127" s="383">
        <f t="shared" si="248"/>
        <v>0</v>
      </c>
      <c r="N127" s="383">
        <f t="shared" si="249"/>
        <v>0</v>
      </c>
      <c r="O127" s="383">
        <f t="shared" si="265"/>
        <v>0</v>
      </c>
      <c r="P127" s="383">
        <f t="shared" si="266"/>
        <v>0</v>
      </c>
      <c r="Q127" s="383">
        <f t="shared" si="267"/>
        <v>0</v>
      </c>
      <c r="R127" s="383">
        <f t="shared" si="250"/>
        <v>0</v>
      </c>
      <c r="S127" s="383">
        <f t="shared" si="251"/>
        <v>0</v>
      </c>
      <c r="T127" s="383">
        <f t="shared" si="252"/>
        <v>0</v>
      </c>
      <c r="U127" s="384" t="e">
        <f t="shared" si="253"/>
        <v>#DIV/0!</v>
      </c>
      <c r="V127" s="384" t="e">
        <f t="shared" si="254"/>
        <v>#DIV/0!</v>
      </c>
    </row>
    <row r="128" spans="1:64" x14ac:dyDescent="0.15">
      <c r="A128" s="400" t="str">
        <f t="shared" si="255"/>
        <v>Thread 6</v>
      </c>
      <c r="B128" s="383">
        <f t="shared" si="256"/>
        <v>0</v>
      </c>
      <c r="C128" s="383">
        <f t="shared" si="257"/>
        <v>0</v>
      </c>
      <c r="D128" s="383">
        <f t="shared" si="258"/>
        <v>0</v>
      </c>
      <c r="E128" s="383">
        <f t="shared" si="259"/>
        <v>0</v>
      </c>
      <c r="F128" s="383">
        <f t="shared" si="246"/>
        <v>0</v>
      </c>
      <c r="G128" s="383">
        <f t="shared" si="247"/>
        <v>0</v>
      </c>
      <c r="H128" s="383">
        <f t="shared" si="260"/>
        <v>0</v>
      </c>
      <c r="I128" s="383">
        <f t="shared" si="261"/>
        <v>0</v>
      </c>
      <c r="J128" s="383">
        <f t="shared" si="262"/>
        <v>0</v>
      </c>
      <c r="K128" s="383">
        <f t="shared" si="263"/>
        <v>0</v>
      </c>
      <c r="L128" s="383">
        <f t="shared" si="264"/>
        <v>0</v>
      </c>
      <c r="M128" s="383">
        <f t="shared" si="248"/>
        <v>0</v>
      </c>
      <c r="N128" s="383">
        <f t="shared" si="249"/>
        <v>0</v>
      </c>
      <c r="O128" s="383">
        <f t="shared" si="265"/>
        <v>0</v>
      </c>
      <c r="P128" s="383">
        <f t="shared" si="266"/>
        <v>0</v>
      </c>
      <c r="Q128" s="383">
        <f t="shared" si="267"/>
        <v>0</v>
      </c>
      <c r="R128" s="383">
        <f t="shared" si="250"/>
        <v>0</v>
      </c>
      <c r="S128" s="383">
        <f t="shared" si="251"/>
        <v>0</v>
      </c>
      <c r="T128" s="383">
        <f t="shared" si="252"/>
        <v>0</v>
      </c>
      <c r="U128" s="384" t="e">
        <f t="shared" si="253"/>
        <v>#DIV/0!</v>
      </c>
      <c r="V128" s="384" t="e">
        <f t="shared" si="254"/>
        <v>#DIV/0!</v>
      </c>
    </row>
    <row r="129" spans="1:22" x14ac:dyDescent="0.15">
      <c r="A129" s="400" t="str">
        <f t="shared" si="255"/>
        <v>Thread 7</v>
      </c>
      <c r="B129" s="383">
        <f t="shared" si="256"/>
        <v>0</v>
      </c>
      <c r="C129" s="383">
        <f t="shared" si="257"/>
        <v>0</v>
      </c>
      <c r="D129" s="383">
        <f t="shared" si="258"/>
        <v>0</v>
      </c>
      <c r="E129" s="383">
        <f t="shared" si="259"/>
        <v>0</v>
      </c>
      <c r="F129" s="383">
        <f t="shared" si="246"/>
        <v>0</v>
      </c>
      <c r="G129" s="383">
        <f t="shared" si="247"/>
        <v>0</v>
      </c>
      <c r="H129" s="383">
        <f t="shared" si="260"/>
        <v>0</v>
      </c>
      <c r="I129" s="383">
        <f t="shared" si="261"/>
        <v>0</v>
      </c>
      <c r="J129" s="383">
        <f t="shared" si="262"/>
        <v>0</v>
      </c>
      <c r="K129" s="383">
        <f t="shared" si="263"/>
        <v>0</v>
      </c>
      <c r="L129" s="383">
        <f t="shared" si="264"/>
        <v>0</v>
      </c>
      <c r="M129" s="383">
        <f t="shared" si="248"/>
        <v>0</v>
      </c>
      <c r="N129" s="383">
        <f t="shared" si="249"/>
        <v>0</v>
      </c>
      <c r="O129" s="383">
        <f t="shared" si="265"/>
        <v>0</v>
      </c>
      <c r="P129" s="383">
        <f t="shared" si="266"/>
        <v>0</v>
      </c>
      <c r="Q129" s="383">
        <f t="shared" si="267"/>
        <v>0</v>
      </c>
      <c r="R129" s="383">
        <f t="shared" si="250"/>
        <v>0</v>
      </c>
      <c r="S129" s="383">
        <f t="shared" si="251"/>
        <v>0</v>
      </c>
      <c r="T129" s="383">
        <f t="shared" si="252"/>
        <v>0</v>
      </c>
      <c r="U129" s="384" t="e">
        <f t="shared" si="253"/>
        <v>#DIV/0!</v>
      </c>
      <c r="V129" s="384" t="e">
        <f t="shared" si="254"/>
        <v>#DIV/0!</v>
      </c>
    </row>
    <row r="130" spans="1:22" x14ac:dyDescent="0.15">
      <c r="A130" s="400" t="str">
        <f t="shared" si="255"/>
        <v>Thread 8</v>
      </c>
      <c r="B130" s="383">
        <f t="shared" si="256"/>
        <v>0</v>
      </c>
      <c r="C130" s="383">
        <f t="shared" si="257"/>
        <v>0</v>
      </c>
      <c r="D130" s="383">
        <f t="shared" si="258"/>
        <v>0</v>
      </c>
      <c r="E130" s="383">
        <f t="shared" si="259"/>
        <v>0</v>
      </c>
      <c r="F130" s="383">
        <f t="shared" si="246"/>
        <v>0</v>
      </c>
      <c r="G130" s="383">
        <f t="shared" si="247"/>
        <v>0</v>
      </c>
      <c r="H130" s="383">
        <f t="shared" si="260"/>
        <v>0</v>
      </c>
      <c r="I130" s="383">
        <f t="shared" si="261"/>
        <v>0</v>
      </c>
      <c r="J130" s="383">
        <f t="shared" si="262"/>
        <v>0</v>
      </c>
      <c r="K130" s="383">
        <f t="shared" si="263"/>
        <v>0</v>
      </c>
      <c r="L130" s="383">
        <f t="shared" si="264"/>
        <v>0</v>
      </c>
      <c r="M130" s="383">
        <f t="shared" si="248"/>
        <v>0</v>
      </c>
      <c r="N130" s="383">
        <f t="shared" si="249"/>
        <v>0</v>
      </c>
      <c r="O130" s="383">
        <f t="shared" si="265"/>
        <v>0</v>
      </c>
      <c r="P130" s="383">
        <f t="shared" si="266"/>
        <v>0</v>
      </c>
      <c r="Q130" s="383">
        <f t="shared" si="267"/>
        <v>0</v>
      </c>
      <c r="R130" s="383">
        <f t="shared" si="250"/>
        <v>0</v>
      </c>
      <c r="S130" s="383">
        <f t="shared" si="251"/>
        <v>0</v>
      </c>
      <c r="T130" s="383">
        <f t="shared" si="252"/>
        <v>0</v>
      </c>
      <c r="U130" s="384" t="e">
        <f t="shared" si="253"/>
        <v>#DIV/0!</v>
      </c>
      <c r="V130" s="384" t="e">
        <f t="shared" si="254"/>
        <v>#DIV/0!</v>
      </c>
    </row>
    <row r="131" spans="1:22" x14ac:dyDescent="0.15">
      <c r="A131" s="400" t="str">
        <f t="shared" si="255"/>
        <v>Thread 9</v>
      </c>
      <c r="B131" s="383">
        <f t="shared" si="256"/>
        <v>0</v>
      </c>
      <c r="C131" s="383">
        <f t="shared" si="257"/>
        <v>0</v>
      </c>
      <c r="D131" s="383">
        <f t="shared" si="258"/>
        <v>0</v>
      </c>
      <c r="E131" s="383">
        <f t="shared" si="259"/>
        <v>0</v>
      </c>
      <c r="F131" s="383">
        <f t="shared" si="246"/>
        <v>0</v>
      </c>
      <c r="G131" s="383">
        <f t="shared" si="247"/>
        <v>0</v>
      </c>
      <c r="H131" s="383">
        <f t="shared" si="260"/>
        <v>0</v>
      </c>
      <c r="I131" s="383">
        <f t="shared" si="261"/>
        <v>0</v>
      </c>
      <c r="J131" s="383">
        <f t="shared" si="262"/>
        <v>0</v>
      </c>
      <c r="K131" s="383">
        <f t="shared" si="263"/>
        <v>0</v>
      </c>
      <c r="L131" s="383">
        <f t="shared" si="264"/>
        <v>0</v>
      </c>
      <c r="M131" s="383">
        <f t="shared" si="248"/>
        <v>0</v>
      </c>
      <c r="N131" s="383">
        <f t="shared" si="249"/>
        <v>0</v>
      </c>
      <c r="O131" s="383">
        <f t="shared" si="265"/>
        <v>0</v>
      </c>
      <c r="P131" s="383">
        <f t="shared" si="266"/>
        <v>0</v>
      </c>
      <c r="Q131" s="383">
        <f t="shared" si="267"/>
        <v>0</v>
      </c>
      <c r="R131" s="383">
        <f t="shared" si="250"/>
        <v>0</v>
      </c>
      <c r="S131" s="383">
        <f t="shared" si="251"/>
        <v>0</v>
      </c>
      <c r="T131" s="383">
        <f t="shared" si="252"/>
        <v>0</v>
      </c>
      <c r="U131" s="384" t="e">
        <f t="shared" si="253"/>
        <v>#DIV/0!</v>
      </c>
      <c r="V131" s="384" t="e">
        <f t="shared" si="254"/>
        <v>#DIV/0!</v>
      </c>
    </row>
    <row r="132" spans="1:22" x14ac:dyDescent="0.15">
      <c r="A132" s="400" t="str">
        <f t="shared" si="255"/>
        <v>Thread 10</v>
      </c>
      <c r="B132" s="383">
        <f t="shared" ref="B132:B141" si="268">D109</f>
        <v>0</v>
      </c>
      <c r="C132" s="383">
        <f t="shared" ref="C132:C141" si="269">C109-D109</f>
        <v>0</v>
      </c>
      <c r="D132" s="383">
        <f t="shared" ref="D132:D141" si="270">N109</f>
        <v>0</v>
      </c>
      <c r="E132" s="383">
        <f t="shared" si="259"/>
        <v>0</v>
      </c>
      <c r="F132" s="383">
        <f t="shared" ref="F132:F141" si="271">F109-B132-E132</f>
        <v>0</v>
      </c>
      <c r="G132" s="383">
        <f t="shared" ref="G132:G141" si="272">G109-SUM(B132:F132)+D132</f>
        <v>0</v>
      </c>
      <c r="H132" s="383">
        <f t="shared" ref="H132:H141" si="273">K109-O109</f>
        <v>0</v>
      </c>
      <c r="I132" s="383">
        <f t="shared" ref="I132:I141" si="274">O109</f>
        <v>0</v>
      </c>
      <c r="J132" s="383">
        <f t="shared" ref="J132:J141" si="275">L109</f>
        <v>0</v>
      </c>
      <c r="K132" s="383">
        <f t="shared" si="263"/>
        <v>0</v>
      </c>
      <c r="L132" s="383">
        <f t="shared" si="264"/>
        <v>0</v>
      </c>
      <c r="M132" s="383">
        <f t="shared" si="248"/>
        <v>0</v>
      </c>
      <c r="N132" s="383">
        <f t="shared" si="249"/>
        <v>0</v>
      </c>
      <c r="O132" s="383">
        <f t="shared" ref="O132:O141" si="276">X109</f>
        <v>0</v>
      </c>
      <c r="P132" s="383">
        <f t="shared" ref="P132:P141" si="277">R109</f>
        <v>0</v>
      </c>
      <c r="Q132" s="383">
        <f t="shared" si="267"/>
        <v>0</v>
      </c>
      <c r="R132" s="383">
        <f t="shared" si="250"/>
        <v>0</v>
      </c>
      <c r="S132" s="383">
        <f t="shared" si="251"/>
        <v>0</v>
      </c>
      <c r="T132" s="383">
        <f t="shared" si="252"/>
        <v>0</v>
      </c>
      <c r="U132" s="384" t="e">
        <f t="shared" si="253"/>
        <v>#DIV/0!</v>
      </c>
      <c r="V132" s="384" t="e">
        <f t="shared" si="254"/>
        <v>#DIV/0!</v>
      </c>
    </row>
    <row r="133" spans="1:22" ht="13.5" customHeight="1" x14ac:dyDescent="0.15">
      <c r="A133" s="400" t="str">
        <f t="shared" si="255"/>
        <v>Thread 11</v>
      </c>
      <c r="B133" s="383">
        <f t="shared" si="268"/>
        <v>0</v>
      </c>
      <c r="C133" s="383">
        <f t="shared" si="269"/>
        <v>0</v>
      </c>
      <c r="D133" s="383">
        <f t="shared" si="270"/>
        <v>0</v>
      </c>
      <c r="E133" s="383">
        <f t="shared" si="259"/>
        <v>0</v>
      </c>
      <c r="F133" s="383">
        <f t="shared" si="271"/>
        <v>0</v>
      </c>
      <c r="G133" s="383">
        <f t="shared" si="272"/>
        <v>0</v>
      </c>
      <c r="H133" s="383">
        <f t="shared" si="273"/>
        <v>0</v>
      </c>
      <c r="I133" s="383">
        <f t="shared" si="274"/>
        <v>0</v>
      </c>
      <c r="J133" s="383">
        <f t="shared" si="275"/>
        <v>0</v>
      </c>
      <c r="K133" s="383">
        <f t="shared" si="263"/>
        <v>0</v>
      </c>
      <c r="L133" s="383">
        <f t="shared" si="264"/>
        <v>0</v>
      </c>
      <c r="M133" s="383">
        <f t="shared" si="248"/>
        <v>0</v>
      </c>
      <c r="N133" s="383">
        <f t="shared" si="249"/>
        <v>0</v>
      </c>
      <c r="O133" s="383">
        <f t="shared" si="276"/>
        <v>0</v>
      </c>
      <c r="P133" s="383">
        <f t="shared" si="277"/>
        <v>0</v>
      </c>
      <c r="Q133" s="383">
        <f t="shared" si="267"/>
        <v>0</v>
      </c>
      <c r="R133" s="383">
        <f t="shared" si="250"/>
        <v>0</v>
      </c>
      <c r="S133" s="383">
        <f t="shared" si="251"/>
        <v>0</v>
      </c>
      <c r="T133" s="383">
        <f t="shared" si="252"/>
        <v>0</v>
      </c>
      <c r="U133" s="384" t="e">
        <f t="shared" si="253"/>
        <v>#DIV/0!</v>
      </c>
      <c r="V133" s="384" t="e">
        <f t="shared" si="254"/>
        <v>#DIV/0!</v>
      </c>
    </row>
    <row r="134" spans="1:22" x14ac:dyDescent="0.15">
      <c r="A134" s="400" t="str">
        <f t="shared" si="255"/>
        <v>Thread 12</v>
      </c>
      <c r="B134" s="383">
        <f t="shared" si="268"/>
        <v>0</v>
      </c>
      <c r="C134" s="383">
        <f t="shared" si="269"/>
        <v>0</v>
      </c>
      <c r="D134" s="383">
        <f t="shared" si="270"/>
        <v>0</v>
      </c>
      <c r="E134" s="383">
        <f t="shared" si="259"/>
        <v>0</v>
      </c>
      <c r="F134" s="383">
        <f t="shared" si="271"/>
        <v>0</v>
      </c>
      <c r="G134" s="383">
        <f t="shared" si="272"/>
        <v>0</v>
      </c>
      <c r="H134" s="383">
        <f t="shared" si="273"/>
        <v>0</v>
      </c>
      <c r="I134" s="383">
        <f t="shared" si="274"/>
        <v>0</v>
      </c>
      <c r="J134" s="383">
        <f t="shared" si="275"/>
        <v>0</v>
      </c>
      <c r="K134" s="383">
        <f t="shared" si="263"/>
        <v>0</v>
      </c>
      <c r="L134" s="383">
        <f t="shared" si="264"/>
        <v>0</v>
      </c>
      <c r="M134" s="383">
        <f t="shared" si="248"/>
        <v>0</v>
      </c>
      <c r="N134" s="383">
        <f t="shared" si="249"/>
        <v>0</v>
      </c>
      <c r="O134" s="383">
        <f t="shared" si="276"/>
        <v>0</v>
      </c>
      <c r="P134" s="383">
        <f t="shared" si="277"/>
        <v>0</v>
      </c>
      <c r="Q134" s="383">
        <f t="shared" si="267"/>
        <v>0</v>
      </c>
      <c r="R134" s="383">
        <f t="shared" si="250"/>
        <v>0</v>
      </c>
      <c r="S134" s="383">
        <f t="shared" si="251"/>
        <v>0</v>
      </c>
      <c r="T134" s="383">
        <f t="shared" si="252"/>
        <v>0</v>
      </c>
      <c r="U134" s="384" t="e">
        <f t="shared" si="253"/>
        <v>#DIV/0!</v>
      </c>
      <c r="V134" s="384" t="e">
        <f t="shared" si="254"/>
        <v>#DIV/0!</v>
      </c>
    </row>
    <row r="135" spans="1:22" x14ac:dyDescent="0.15">
      <c r="A135" s="400" t="str">
        <f t="shared" si="255"/>
        <v>Thread 13</v>
      </c>
      <c r="B135" s="383">
        <f t="shared" si="268"/>
        <v>0</v>
      </c>
      <c r="C135" s="383">
        <f t="shared" si="269"/>
        <v>0</v>
      </c>
      <c r="D135" s="383">
        <f t="shared" si="270"/>
        <v>0</v>
      </c>
      <c r="E135" s="383">
        <f t="shared" si="259"/>
        <v>0</v>
      </c>
      <c r="F135" s="383">
        <f t="shared" si="271"/>
        <v>0</v>
      </c>
      <c r="G135" s="383">
        <f t="shared" si="272"/>
        <v>0</v>
      </c>
      <c r="H135" s="383">
        <f t="shared" si="273"/>
        <v>0</v>
      </c>
      <c r="I135" s="383">
        <f t="shared" si="274"/>
        <v>0</v>
      </c>
      <c r="J135" s="383">
        <f t="shared" si="275"/>
        <v>0</v>
      </c>
      <c r="K135" s="383">
        <f t="shared" si="263"/>
        <v>0</v>
      </c>
      <c r="L135" s="383">
        <f t="shared" si="264"/>
        <v>0</v>
      </c>
      <c r="M135" s="383">
        <f t="shared" si="248"/>
        <v>0</v>
      </c>
      <c r="N135" s="383">
        <f t="shared" si="249"/>
        <v>0</v>
      </c>
      <c r="O135" s="383">
        <f t="shared" si="276"/>
        <v>0</v>
      </c>
      <c r="P135" s="383">
        <f t="shared" si="277"/>
        <v>0</v>
      </c>
      <c r="Q135" s="383">
        <f t="shared" si="267"/>
        <v>0</v>
      </c>
      <c r="R135" s="383">
        <f t="shared" si="250"/>
        <v>0</v>
      </c>
      <c r="S135" s="383">
        <f t="shared" si="251"/>
        <v>0</v>
      </c>
      <c r="T135" s="383">
        <f t="shared" si="252"/>
        <v>0</v>
      </c>
      <c r="U135" s="384" t="e">
        <f t="shared" si="253"/>
        <v>#DIV/0!</v>
      </c>
      <c r="V135" s="384" t="e">
        <f t="shared" si="254"/>
        <v>#DIV/0!</v>
      </c>
    </row>
    <row r="136" spans="1:22" x14ac:dyDescent="0.15">
      <c r="A136" s="400" t="str">
        <f t="shared" si="255"/>
        <v>Thread 14</v>
      </c>
      <c r="B136" s="383">
        <f t="shared" si="268"/>
        <v>0</v>
      </c>
      <c r="C136" s="383">
        <f t="shared" si="269"/>
        <v>0</v>
      </c>
      <c r="D136" s="383">
        <f t="shared" si="270"/>
        <v>0</v>
      </c>
      <c r="E136" s="383">
        <f t="shared" si="259"/>
        <v>0</v>
      </c>
      <c r="F136" s="383">
        <f t="shared" si="271"/>
        <v>0</v>
      </c>
      <c r="G136" s="383">
        <f t="shared" si="272"/>
        <v>0</v>
      </c>
      <c r="H136" s="383">
        <f t="shared" si="273"/>
        <v>0</v>
      </c>
      <c r="I136" s="383">
        <f t="shared" si="274"/>
        <v>0</v>
      </c>
      <c r="J136" s="383">
        <f t="shared" si="275"/>
        <v>0</v>
      </c>
      <c r="K136" s="383">
        <f t="shared" si="263"/>
        <v>0</v>
      </c>
      <c r="L136" s="383">
        <f t="shared" si="264"/>
        <v>0</v>
      </c>
      <c r="M136" s="383">
        <f t="shared" si="248"/>
        <v>0</v>
      </c>
      <c r="N136" s="383">
        <f t="shared" si="249"/>
        <v>0</v>
      </c>
      <c r="O136" s="383">
        <f t="shared" si="276"/>
        <v>0</v>
      </c>
      <c r="P136" s="383">
        <f t="shared" si="277"/>
        <v>0</v>
      </c>
      <c r="Q136" s="383">
        <f t="shared" si="267"/>
        <v>0</v>
      </c>
      <c r="R136" s="383">
        <f t="shared" si="250"/>
        <v>0</v>
      </c>
      <c r="S136" s="383">
        <f t="shared" si="251"/>
        <v>0</v>
      </c>
      <c r="T136" s="383">
        <f t="shared" si="252"/>
        <v>0</v>
      </c>
      <c r="U136" s="384" t="e">
        <f t="shared" si="253"/>
        <v>#DIV/0!</v>
      </c>
      <c r="V136" s="384" t="e">
        <f t="shared" si="254"/>
        <v>#DIV/0!</v>
      </c>
    </row>
    <row r="137" spans="1:22" x14ac:dyDescent="0.15">
      <c r="A137" s="400" t="str">
        <f t="shared" si="255"/>
        <v>Thread 15</v>
      </c>
      <c r="B137" s="383">
        <f t="shared" si="268"/>
        <v>0</v>
      </c>
      <c r="C137" s="383">
        <f t="shared" si="269"/>
        <v>0</v>
      </c>
      <c r="D137" s="383">
        <f t="shared" si="270"/>
        <v>0</v>
      </c>
      <c r="E137" s="383">
        <f t="shared" si="259"/>
        <v>0</v>
      </c>
      <c r="F137" s="383">
        <f t="shared" si="271"/>
        <v>0</v>
      </c>
      <c r="G137" s="383">
        <f t="shared" si="272"/>
        <v>0</v>
      </c>
      <c r="H137" s="383">
        <f t="shared" si="273"/>
        <v>0</v>
      </c>
      <c r="I137" s="383">
        <f t="shared" si="274"/>
        <v>0</v>
      </c>
      <c r="J137" s="383">
        <f t="shared" si="275"/>
        <v>0</v>
      </c>
      <c r="K137" s="383">
        <f t="shared" si="263"/>
        <v>0</v>
      </c>
      <c r="L137" s="383">
        <f t="shared" si="264"/>
        <v>0</v>
      </c>
      <c r="M137" s="383">
        <f t="shared" si="248"/>
        <v>0</v>
      </c>
      <c r="N137" s="383">
        <f t="shared" si="249"/>
        <v>0</v>
      </c>
      <c r="O137" s="383">
        <f t="shared" si="276"/>
        <v>0</v>
      </c>
      <c r="P137" s="383">
        <f t="shared" si="277"/>
        <v>0</v>
      </c>
      <c r="Q137" s="383">
        <f t="shared" si="267"/>
        <v>0</v>
      </c>
      <c r="R137" s="383">
        <f t="shared" si="250"/>
        <v>0</v>
      </c>
      <c r="S137" s="383">
        <f t="shared" si="251"/>
        <v>0</v>
      </c>
      <c r="T137" s="383">
        <f t="shared" si="252"/>
        <v>0</v>
      </c>
      <c r="U137" s="384" t="e">
        <f t="shared" si="253"/>
        <v>#DIV/0!</v>
      </c>
      <c r="V137" s="384" t="e">
        <f t="shared" si="254"/>
        <v>#DIV/0!</v>
      </c>
    </row>
    <row r="138" spans="1:22" x14ac:dyDescent="0.15">
      <c r="A138" s="400" t="str">
        <f t="shared" si="255"/>
        <v>◆バリア同期待ち最少スレッド</v>
      </c>
      <c r="B138" s="383">
        <f t="shared" si="268"/>
        <v>0</v>
      </c>
      <c r="C138" s="383">
        <f t="shared" si="269"/>
        <v>0</v>
      </c>
      <c r="D138" s="383">
        <f t="shared" si="270"/>
        <v>0</v>
      </c>
      <c r="E138" s="383">
        <f t="shared" si="259"/>
        <v>0</v>
      </c>
      <c r="F138" s="383">
        <f t="shared" si="271"/>
        <v>0</v>
      </c>
      <c r="G138" s="383">
        <f t="shared" si="272"/>
        <v>0</v>
      </c>
      <c r="H138" s="383">
        <f t="shared" si="273"/>
        <v>0</v>
      </c>
      <c r="I138" s="383">
        <f t="shared" si="274"/>
        <v>0</v>
      </c>
      <c r="J138" s="383">
        <f t="shared" si="275"/>
        <v>0</v>
      </c>
      <c r="K138" s="383">
        <f t="shared" si="263"/>
        <v>0</v>
      </c>
      <c r="L138" s="383">
        <f t="shared" si="264"/>
        <v>0</v>
      </c>
      <c r="M138" s="383">
        <f t="shared" si="248"/>
        <v>0</v>
      </c>
      <c r="N138" s="383">
        <f t="shared" si="249"/>
        <v>0</v>
      </c>
      <c r="O138" s="383">
        <f t="shared" si="276"/>
        <v>0</v>
      </c>
      <c r="P138" s="383">
        <f t="shared" si="277"/>
        <v>0</v>
      </c>
      <c r="Q138" s="383">
        <f t="shared" si="267"/>
        <v>0</v>
      </c>
      <c r="R138" s="383">
        <f t="shared" si="250"/>
        <v>0</v>
      </c>
      <c r="S138" s="383">
        <f t="shared" si="251"/>
        <v>0</v>
      </c>
      <c r="T138" s="383">
        <f t="shared" si="252"/>
        <v>0</v>
      </c>
      <c r="U138" s="384" t="e">
        <f t="shared" si="253"/>
        <v>#DIV/0!</v>
      </c>
      <c r="V138" s="384" t="e">
        <f t="shared" si="254"/>
        <v>#DIV/0!</v>
      </c>
    </row>
    <row r="139" spans="1:22" x14ac:dyDescent="0.15">
      <c r="A139" s="400" t="e">
        <f t="shared" si="255"/>
        <v>#N/A</v>
      </c>
      <c r="B139" s="383" t="e">
        <f t="shared" si="268"/>
        <v>#N/A</v>
      </c>
      <c r="C139" s="383" t="e">
        <f t="shared" si="269"/>
        <v>#N/A</v>
      </c>
      <c r="D139" s="383" t="e">
        <f t="shared" si="270"/>
        <v>#N/A</v>
      </c>
      <c r="E139" s="383" t="e">
        <f t="shared" si="259"/>
        <v>#N/A</v>
      </c>
      <c r="F139" s="383" t="e">
        <f t="shared" si="271"/>
        <v>#N/A</v>
      </c>
      <c r="G139" s="383" t="e">
        <f t="shared" si="272"/>
        <v>#N/A</v>
      </c>
      <c r="H139" s="383" t="e">
        <f t="shared" si="273"/>
        <v>#N/A</v>
      </c>
      <c r="I139" s="383" t="e">
        <f t="shared" si="274"/>
        <v>#N/A</v>
      </c>
      <c r="J139" s="383" t="e">
        <f t="shared" si="275"/>
        <v>#N/A</v>
      </c>
      <c r="K139" s="383" t="e">
        <f t="shared" si="263"/>
        <v>#N/A</v>
      </c>
      <c r="L139" s="383" t="e">
        <f t="shared" si="264"/>
        <v>#N/A</v>
      </c>
      <c r="M139" s="383" t="e">
        <f t="shared" si="248"/>
        <v>#N/A</v>
      </c>
      <c r="N139" s="383" t="e">
        <f t="shared" si="249"/>
        <v>#N/A</v>
      </c>
      <c r="O139" s="383" t="e">
        <f t="shared" si="276"/>
        <v>#N/A</v>
      </c>
      <c r="P139" s="383" t="e">
        <f t="shared" si="277"/>
        <v>#N/A</v>
      </c>
      <c r="Q139" s="383">
        <f t="shared" si="267"/>
        <v>0</v>
      </c>
      <c r="R139" s="383" t="e">
        <f t="shared" si="250"/>
        <v>#N/A</v>
      </c>
      <c r="S139" s="383" t="e">
        <f t="shared" si="251"/>
        <v>#N/A</v>
      </c>
      <c r="T139" s="383" t="e">
        <f t="shared" si="252"/>
        <v>#N/A</v>
      </c>
      <c r="U139" s="384" t="e">
        <f t="shared" si="253"/>
        <v>#N/A</v>
      </c>
      <c r="V139" s="384" t="e">
        <f t="shared" si="254"/>
        <v>#N/A</v>
      </c>
    </row>
    <row r="140" spans="1:22" x14ac:dyDescent="0.15">
      <c r="A140" s="400">
        <f t="shared" si="255"/>
        <v>0</v>
      </c>
      <c r="B140" s="383">
        <f t="shared" si="268"/>
        <v>0</v>
      </c>
      <c r="C140" s="383">
        <f t="shared" si="269"/>
        <v>0</v>
      </c>
      <c r="D140" s="383">
        <f t="shared" si="270"/>
        <v>0</v>
      </c>
      <c r="E140" s="383">
        <f t="shared" si="259"/>
        <v>0</v>
      </c>
      <c r="F140" s="383">
        <f t="shared" si="271"/>
        <v>0</v>
      </c>
      <c r="G140" s="383">
        <f t="shared" si="272"/>
        <v>0</v>
      </c>
      <c r="H140" s="383">
        <f t="shared" si="273"/>
        <v>0</v>
      </c>
      <c r="I140" s="383">
        <f t="shared" si="274"/>
        <v>0</v>
      </c>
      <c r="J140" s="383">
        <f t="shared" si="275"/>
        <v>0</v>
      </c>
      <c r="K140" s="383">
        <f t="shared" si="263"/>
        <v>0</v>
      </c>
      <c r="L140" s="383">
        <f t="shared" si="264"/>
        <v>0</v>
      </c>
      <c r="M140" s="383">
        <f t="shared" si="248"/>
        <v>0</v>
      </c>
      <c r="N140" s="383">
        <f t="shared" si="249"/>
        <v>0</v>
      </c>
      <c r="O140" s="383">
        <f t="shared" si="276"/>
        <v>0</v>
      </c>
      <c r="P140" s="383">
        <f t="shared" si="277"/>
        <v>0</v>
      </c>
      <c r="Q140" s="383">
        <f t="shared" si="267"/>
        <v>0</v>
      </c>
      <c r="R140" s="383">
        <f t="shared" si="250"/>
        <v>0</v>
      </c>
      <c r="S140" s="383">
        <f t="shared" si="251"/>
        <v>0</v>
      </c>
      <c r="T140" s="383">
        <f t="shared" si="252"/>
        <v>0</v>
      </c>
      <c r="U140" s="384" t="e">
        <f t="shared" si="253"/>
        <v>#DIV/0!</v>
      </c>
      <c r="V140" s="384" t="e">
        <f t="shared" si="254"/>
        <v>#DIV/0!</v>
      </c>
    </row>
    <row r="141" spans="1:22" x14ac:dyDescent="0.15">
      <c r="A141" s="400">
        <f t="shared" si="255"/>
        <v>0</v>
      </c>
      <c r="B141" s="383">
        <f t="shared" si="268"/>
        <v>0</v>
      </c>
      <c r="C141" s="383">
        <f t="shared" si="269"/>
        <v>0</v>
      </c>
      <c r="D141" s="383">
        <f t="shared" si="270"/>
        <v>0</v>
      </c>
      <c r="E141" s="383">
        <f t="shared" si="259"/>
        <v>0</v>
      </c>
      <c r="F141" s="383">
        <f t="shared" si="271"/>
        <v>0</v>
      </c>
      <c r="G141" s="383">
        <f t="shared" si="272"/>
        <v>0</v>
      </c>
      <c r="H141" s="383">
        <f t="shared" si="273"/>
        <v>0</v>
      </c>
      <c r="I141" s="383">
        <f t="shared" si="274"/>
        <v>0</v>
      </c>
      <c r="J141" s="383">
        <f t="shared" si="275"/>
        <v>0</v>
      </c>
      <c r="K141" s="383">
        <f t="shared" si="263"/>
        <v>0</v>
      </c>
      <c r="L141" s="383">
        <f t="shared" si="264"/>
        <v>0</v>
      </c>
      <c r="M141" s="383">
        <f t="shared" si="248"/>
        <v>0</v>
      </c>
      <c r="N141" s="383">
        <f t="shared" si="249"/>
        <v>0</v>
      </c>
      <c r="O141" s="383">
        <f t="shared" si="276"/>
        <v>0</v>
      </c>
      <c r="P141" s="383">
        <f t="shared" si="277"/>
        <v>0</v>
      </c>
      <c r="Q141" s="383">
        <f t="shared" si="267"/>
        <v>0</v>
      </c>
      <c r="R141" s="383">
        <f t="shared" si="250"/>
        <v>0</v>
      </c>
      <c r="S141" s="383">
        <f t="shared" si="251"/>
        <v>0</v>
      </c>
      <c r="T141" s="383">
        <f t="shared" si="252"/>
        <v>0</v>
      </c>
      <c r="U141" s="384" t="e">
        <f t="shared" si="253"/>
        <v>#DIV/0!</v>
      </c>
      <c r="V141" s="384" t="e">
        <f t="shared" si="254"/>
        <v>#DIV/0!</v>
      </c>
    </row>
    <row r="144" spans="1:22" x14ac:dyDescent="0.15">
      <c r="B144" s="206" t="s">
        <v>335</v>
      </c>
    </row>
    <row r="145" spans="1:2" x14ac:dyDescent="0.15">
      <c r="A145" s="348" t="s">
        <v>336</v>
      </c>
      <c r="B145" s="403"/>
    </row>
    <row r="146" spans="1:2" x14ac:dyDescent="0.15">
      <c r="A146" s="348" t="s">
        <v>337</v>
      </c>
      <c r="B146" s="404"/>
    </row>
    <row r="147" spans="1:2" x14ac:dyDescent="0.15">
      <c r="A147" s="348" t="s">
        <v>338</v>
      </c>
      <c r="B147" s="403"/>
    </row>
    <row r="148" spans="1:2" x14ac:dyDescent="0.15">
      <c r="A148" s="348" t="s">
        <v>339</v>
      </c>
      <c r="B148" s="404"/>
    </row>
    <row r="149" spans="1:2" x14ac:dyDescent="0.15">
      <c r="A149" s="348" t="s">
        <v>340</v>
      </c>
      <c r="B149" s="404"/>
    </row>
    <row r="150" spans="1:2" x14ac:dyDescent="0.15">
      <c r="A150" s="348" t="s">
        <v>341</v>
      </c>
      <c r="B150" s="404"/>
    </row>
    <row r="151" spans="1:2" x14ac:dyDescent="0.15">
      <c r="A151" s="348" t="s">
        <v>342</v>
      </c>
      <c r="B151" s="404"/>
    </row>
    <row r="152" spans="1:2" x14ac:dyDescent="0.15">
      <c r="A152" s="348" t="s">
        <v>343</v>
      </c>
      <c r="B152" s="404"/>
    </row>
    <row r="153" spans="1:2" x14ac:dyDescent="0.15">
      <c r="A153" s="348" t="s">
        <v>344</v>
      </c>
      <c r="B153" s="404"/>
    </row>
    <row r="154" spans="1:2" x14ac:dyDescent="0.15">
      <c r="A154" s="348" t="s">
        <v>345</v>
      </c>
      <c r="B154" s="404"/>
    </row>
    <row r="155" spans="1:2" x14ac:dyDescent="0.15">
      <c r="A155" s="348" t="s">
        <v>346</v>
      </c>
      <c r="B155" s="404"/>
    </row>
    <row r="156" spans="1:2" x14ac:dyDescent="0.15">
      <c r="A156" s="348" t="s">
        <v>347</v>
      </c>
      <c r="B156" s="404"/>
    </row>
    <row r="157" spans="1:2" x14ac:dyDescent="0.15">
      <c r="A157" s="348" t="s">
        <v>348</v>
      </c>
      <c r="B157" s="404"/>
    </row>
    <row r="158" spans="1:2" x14ac:dyDescent="0.15">
      <c r="A158" s="348" t="s">
        <v>349</v>
      </c>
      <c r="B158" s="404"/>
    </row>
    <row r="159" spans="1:2" x14ac:dyDescent="0.15">
      <c r="A159" s="348" t="s">
        <v>350</v>
      </c>
      <c r="B159" s="404"/>
    </row>
    <row r="160" spans="1:2" x14ac:dyDescent="0.15">
      <c r="A160" s="348" t="s">
        <v>351</v>
      </c>
      <c r="B160" s="404"/>
    </row>
    <row r="161" spans="1:2" x14ac:dyDescent="0.15">
      <c r="A161" s="348">
        <v>0</v>
      </c>
      <c r="B161" s="404"/>
    </row>
    <row r="162" spans="1:2" x14ac:dyDescent="0.15">
      <c r="A162" s="348">
        <v>0</v>
      </c>
      <c r="B162" s="404"/>
    </row>
    <row r="163" spans="1:2" x14ac:dyDescent="0.15">
      <c r="A163" s="348">
        <v>0</v>
      </c>
      <c r="B163" s="404"/>
    </row>
    <row r="164" spans="1:2" x14ac:dyDescent="0.15">
      <c r="A164" s="348">
        <v>0</v>
      </c>
      <c r="B164" s="404"/>
    </row>
  </sheetData>
  <sheetProtection password="B05A" sheet="1" objects="1" scenarios="1"/>
  <mergeCells count="11">
    <mergeCell ref="CK1:CM1"/>
    <mergeCell ref="DO1:EA1"/>
    <mergeCell ref="CU1:CV1"/>
    <mergeCell ref="CW1:DM1"/>
    <mergeCell ref="CN1:CO1"/>
    <mergeCell ref="CP1:CT1"/>
    <mergeCell ref="BH1:BM1"/>
    <mergeCell ref="BN1:BS1"/>
    <mergeCell ref="BT1:CD1"/>
    <mergeCell ref="CE1:CG1"/>
    <mergeCell ref="CH1:CJ1"/>
  </mergeCells>
  <phoneticPr fontId="3"/>
  <conditionalFormatting sqref="CU3:CV23">
    <cfRule type="cellIs" dxfId="3" priority="1" stopIfTrue="1" operator="greaterThanOrEqual">
      <formula>0.00001</formula>
    </cfRule>
  </conditionalFormatting>
  <conditionalFormatting sqref="BS3:BS23">
    <cfRule type="cellIs" dxfId="2" priority="2" stopIfTrue="1" operator="greaterThan">
      <formula>18</formula>
    </cfRule>
  </conditionalFormatting>
  <conditionalFormatting sqref="BR3:BR23">
    <cfRule type="cellIs" dxfId="1" priority="3" stopIfTrue="1" operator="greaterThan">
      <formula>5</formula>
    </cfRule>
  </conditionalFormatting>
  <conditionalFormatting sqref="BT3:BT23 CA3:CA23">
    <cfRule type="cellIs" dxfId="0" priority="4" stopIfTrue="1" operator="greaterThan">
      <formula>0.0625</formula>
    </cfRule>
  </conditionalFormatting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1"/>
  <sheetViews>
    <sheetView workbookViewId="0"/>
  </sheetViews>
  <sheetFormatPr defaultRowHeight="13.5" x14ac:dyDescent="0.15"/>
  <cols>
    <col min="1" max="1" width="2.75" customWidth="1"/>
    <col min="2" max="5" width="14" customWidth="1"/>
    <col min="6" max="6" width="2.75" customWidth="1"/>
    <col min="7" max="10" width="14" customWidth="1"/>
  </cols>
  <sheetData>
    <row r="2" spans="2:11" ht="14.25" thickBot="1" x14ac:dyDescent="0.2">
      <c r="B2" t="s">
        <v>405</v>
      </c>
      <c r="G2" t="s">
        <v>406</v>
      </c>
    </row>
    <row r="3" spans="2:11" x14ac:dyDescent="0.15">
      <c r="B3" s="738" t="s">
        <v>407</v>
      </c>
      <c r="C3" s="740" t="s">
        <v>408</v>
      </c>
      <c r="D3" s="740"/>
      <c r="E3" s="741" t="s">
        <v>409</v>
      </c>
      <c r="G3" s="738" t="s">
        <v>407</v>
      </c>
      <c r="H3" s="740" t="s">
        <v>408</v>
      </c>
      <c r="I3" s="740"/>
      <c r="J3" s="741" t="s">
        <v>409</v>
      </c>
    </row>
    <row r="4" spans="2:11" ht="14.25" thickBot="1" x14ac:dyDescent="0.2">
      <c r="B4" s="739"/>
      <c r="C4" s="603" t="s">
        <v>410</v>
      </c>
      <c r="D4" s="603" t="s">
        <v>411</v>
      </c>
      <c r="E4" s="742"/>
      <c r="G4" s="739"/>
      <c r="H4" s="603" t="s">
        <v>410</v>
      </c>
      <c r="I4" s="603" t="s">
        <v>411</v>
      </c>
      <c r="J4" s="742"/>
    </row>
    <row r="5" spans="2:11" ht="14.25" thickTop="1" x14ac:dyDescent="0.15">
      <c r="B5" s="604" t="s">
        <v>412</v>
      </c>
      <c r="C5" s="605">
        <f>C6</f>
        <v>65</v>
      </c>
      <c r="D5" s="606">
        <f>C5*E5</f>
        <v>58.5</v>
      </c>
      <c r="E5" s="732">
        <v>0.9</v>
      </c>
      <c r="G5" s="607">
        <v>1</v>
      </c>
      <c r="H5" s="605">
        <v>59</v>
      </c>
      <c r="I5" s="606">
        <f>H5*J5</f>
        <v>53.1</v>
      </c>
      <c r="J5" s="735">
        <v>0.9</v>
      </c>
    </row>
    <row r="6" spans="2:11" x14ac:dyDescent="0.15">
      <c r="B6" s="607">
        <v>0.5</v>
      </c>
      <c r="C6" s="608">
        <v>65</v>
      </c>
      <c r="D6" s="606">
        <f>C6*E5</f>
        <v>58.5</v>
      </c>
      <c r="E6" s="733"/>
      <c r="G6" s="607">
        <v>0.5</v>
      </c>
      <c r="H6" s="608">
        <v>61</v>
      </c>
      <c r="I6" s="606">
        <f>H6*J5</f>
        <v>54.9</v>
      </c>
      <c r="J6" s="736"/>
    </row>
    <row r="7" spans="2:11" ht="14.25" thickBot="1" x14ac:dyDescent="0.2">
      <c r="B7" s="609">
        <v>0</v>
      </c>
      <c r="C7" s="610">
        <v>82</v>
      </c>
      <c r="D7" s="611">
        <f>C7*E5</f>
        <v>73.8</v>
      </c>
      <c r="E7" s="734"/>
      <c r="G7" s="609">
        <v>0</v>
      </c>
      <c r="H7" s="610">
        <f>C7</f>
        <v>82</v>
      </c>
      <c r="I7" s="611">
        <f>H7*J5</f>
        <v>73.8</v>
      </c>
      <c r="J7" s="737"/>
    </row>
    <row r="9" spans="2:11" x14ac:dyDescent="0.15">
      <c r="B9" t="s">
        <v>413</v>
      </c>
      <c r="G9" t="s">
        <v>414</v>
      </c>
    </row>
    <row r="10" spans="2:11" x14ac:dyDescent="0.15">
      <c r="B10" s="612" t="str">
        <f>B3</f>
        <v>writeback率</v>
      </c>
      <c r="C10" s="612" t="str">
        <f>C4</f>
        <v>100%の基準値</v>
      </c>
      <c r="D10" s="612" t="str">
        <f>D4</f>
        <v>ネックの基準値</v>
      </c>
      <c r="G10" s="612" t="str">
        <f>G3</f>
        <v>writeback率</v>
      </c>
      <c r="H10" s="612" t="str">
        <f>H4</f>
        <v>100%の基準値</v>
      </c>
      <c r="I10" s="612" t="str">
        <f>I4</f>
        <v>ネックの基準値</v>
      </c>
    </row>
    <row r="11" spans="2:11" x14ac:dyDescent="0.15">
      <c r="B11" s="460">
        <v>1</v>
      </c>
      <c r="C11" s="613">
        <f>IF(B11&gt;0.5, $C$6, $C$7+B11*($C$6-$C$7)/($B$6-$B$7))</f>
        <v>65</v>
      </c>
      <c r="D11" s="613">
        <f t="shared" ref="D11:D18" si="0">C11*E$5</f>
        <v>58.5</v>
      </c>
      <c r="G11" s="460">
        <v>1</v>
      </c>
      <c r="H11" s="613">
        <f>IF(G11&gt;0.5, $H$5+(1-G11)*($H$6-$H$5)/($G$5-$G$6), $H$7+G11*($H$6-$H$7)/($G$6-$G$7))</f>
        <v>59</v>
      </c>
      <c r="I11" s="613">
        <f t="shared" ref="I11:I18" si="1">H11*J$5</f>
        <v>53.1</v>
      </c>
      <c r="J11" s="614"/>
      <c r="K11" s="614"/>
    </row>
    <row r="12" spans="2:11" x14ac:dyDescent="0.15">
      <c r="B12" s="460">
        <v>0.9</v>
      </c>
      <c r="C12" s="613">
        <f t="shared" ref="C12:C21" si="2">IF(B12&gt;0.5, $C$6, $C$7+B12*($C$6-$C$7)/($B$6-$B$7))</f>
        <v>65</v>
      </c>
      <c r="D12" s="613">
        <f t="shared" si="0"/>
        <v>58.5</v>
      </c>
      <c r="G12" s="460">
        <v>0.9</v>
      </c>
      <c r="H12" s="613">
        <f t="shared" ref="H12:H21" si="3">IF(G12&gt;0.5, $H$5+(1-G12)*($H$6-$H$5)/($G$5-$G$6), $H$7+G12*($H$6-$H$7)/($G$6-$G$7))</f>
        <v>59.4</v>
      </c>
      <c r="I12" s="613">
        <f t="shared" si="1"/>
        <v>53.46</v>
      </c>
      <c r="J12" s="614"/>
      <c r="K12" s="614"/>
    </row>
    <row r="13" spans="2:11" x14ac:dyDescent="0.15">
      <c r="B13" s="460">
        <v>0.8</v>
      </c>
      <c r="C13" s="613">
        <f t="shared" si="2"/>
        <v>65</v>
      </c>
      <c r="D13" s="613">
        <f t="shared" si="0"/>
        <v>58.5</v>
      </c>
      <c r="G13" s="460">
        <v>0.8</v>
      </c>
      <c r="H13" s="613">
        <f t="shared" si="3"/>
        <v>59.8</v>
      </c>
      <c r="I13" s="613">
        <f t="shared" si="1"/>
        <v>53.82</v>
      </c>
      <c r="J13" s="614"/>
      <c r="K13" s="614"/>
    </row>
    <row r="14" spans="2:11" x14ac:dyDescent="0.15">
      <c r="B14" s="460">
        <v>0.7</v>
      </c>
      <c r="C14" s="613">
        <f t="shared" si="2"/>
        <v>65</v>
      </c>
      <c r="D14" s="613">
        <f t="shared" si="0"/>
        <v>58.5</v>
      </c>
      <c r="G14" s="460">
        <v>0.7</v>
      </c>
      <c r="H14" s="613">
        <f t="shared" si="3"/>
        <v>60.2</v>
      </c>
      <c r="I14" s="613">
        <f t="shared" si="1"/>
        <v>54.180000000000007</v>
      </c>
      <c r="J14" s="614"/>
      <c r="K14" s="614"/>
    </row>
    <row r="15" spans="2:11" x14ac:dyDescent="0.15">
      <c r="B15" s="460">
        <v>0.6</v>
      </c>
      <c r="C15" s="613">
        <f t="shared" si="2"/>
        <v>65</v>
      </c>
      <c r="D15" s="613">
        <f t="shared" si="0"/>
        <v>58.5</v>
      </c>
      <c r="G15" s="460">
        <v>0.6</v>
      </c>
      <c r="H15" s="613">
        <f t="shared" si="3"/>
        <v>60.6</v>
      </c>
      <c r="I15" s="613">
        <f t="shared" si="1"/>
        <v>54.54</v>
      </c>
      <c r="J15" s="614"/>
      <c r="K15" s="614"/>
    </row>
    <row r="16" spans="2:11" x14ac:dyDescent="0.15">
      <c r="B16" s="460">
        <v>0.5</v>
      </c>
      <c r="C16" s="613">
        <f t="shared" si="2"/>
        <v>65</v>
      </c>
      <c r="D16" s="613">
        <f t="shared" si="0"/>
        <v>58.5</v>
      </c>
      <c r="G16" s="460">
        <v>0.5</v>
      </c>
      <c r="H16" s="613">
        <f t="shared" si="3"/>
        <v>61</v>
      </c>
      <c r="I16" s="613">
        <f t="shared" si="1"/>
        <v>54.9</v>
      </c>
      <c r="J16" s="614"/>
      <c r="K16" s="614"/>
    </row>
    <row r="17" spans="2:11" x14ac:dyDescent="0.15">
      <c r="B17" s="460">
        <v>0.4</v>
      </c>
      <c r="C17" s="613">
        <f t="shared" si="2"/>
        <v>68.400000000000006</v>
      </c>
      <c r="D17" s="613">
        <f t="shared" si="0"/>
        <v>61.560000000000009</v>
      </c>
      <c r="G17" s="460">
        <v>0.4</v>
      </c>
      <c r="H17" s="613">
        <f t="shared" si="3"/>
        <v>65.2</v>
      </c>
      <c r="I17" s="613">
        <f t="shared" si="1"/>
        <v>58.680000000000007</v>
      </c>
      <c r="J17" s="614"/>
      <c r="K17" s="614"/>
    </row>
    <row r="18" spans="2:11" x14ac:dyDescent="0.15">
      <c r="B18" s="460">
        <v>0.3</v>
      </c>
      <c r="C18" s="613">
        <f t="shared" si="2"/>
        <v>71.8</v>
      </c>
      <c r="D18" s="613">
        <f t="shared" si="0"/>
        <v>64.62</v>
      </c>
      <c r="G18" s="460">
        <v>0.3</v>
      </c>
      <c r="H18" s="613">
        <f t="shared" si="3"/>
        <v>69.400000000000006</v>
      </c>
      <c r="I18" s="613">
        <f t="shared" si="1"/>
        <v>62.460000000000008</v>
      </c>
      <c r="J18" s="614"/>
      <c r="K18" s="614"/>
    </row>
    <row r="19" spans="2:11" x14ac:dyDescent="0.15">
      <c r="B19" s="460">
        <v>0.2</v>
      </c>
      <c r="C19" s="613">
        <f t="shared" si="2"/>
        <v>75.2</v>
      </c>
      <c r="D19" s="613">
        <f>C19*E$5</f>
        <v>67.680000000000007</v>
      </c>
      <c r="E19" s="615"/>
      <c r="G19" s="460">
        <v>0.2</v>
      </c>
      <c r="H19" s="613">
        <f t="shared" si="3"/>
        <v>73.599999999999994</v>
      </c>
      <c r="I19" s="613">
        <f>H19*J$5</f>
        <v>66.239999999999995</v>
      </c>
      <c r="J19" s="614"/>
      <c r="K19" s="614"/>
    </row>
    <row r="20" spans="2:11" x14ac:dyDescent="0.15">
      <c r="B20" s="460">
        <v>0.1</v>
      </c>
      <c r="C20" s="613">
        <f t="shared" si="2"/>
        <v>78.599999999999994</v>
      </c>
      <c r="D20" s="613">
        <f t="shared" ref="D20:D21" si="4">C20*E$5</f>
        <v>70.739999999999995</v>
      </c>
      <c r="E20" s="615"/>
      <c r="G20" s="460">
        <v>0.1</v>
      </c>
      <c r="H20" s="613">
        <f t="shared" si="3"/>
        <v>77.8</v>
      </c>
      <c r="I20" s="613">
        <f t="shared" ref="I20:I21" si="5">H20*J$5</f>
        <v>70.02</v>
      </c>
      <c r="J20" s="614"/>
      <c r="K20" s="614"/>
    </row>
    <row r="21" spans="2:11" x14ac:dyDescent="0.15">
      <c r="B21" s="460">
        <v>0</v>
      </c>
      <c r="C21" s="613">
        <f t="shared" si="2"/>
        <v>82</v>
      </c>
      <c r="D21" s="613">
        <f t="shared" si="4"/>
        <v>73.8</v>
      </c>
      <c r="G21" s="460">
        <v>0</v>
      </c>
      <c r="H21" s="613">
        <f t="shared" si="3"/>
        <v>82</v>
      </c>
      <c r="I21" s="613">
        <f t="shared" si="5"/>
        <v>73.8</v>
      </c>
      <c r="J21" s="614"/>
      <c r="K21" s="614"/>
    </row>
  </sheetData>
  <sheetProtection password="B05A" sheet="1" objects="1" scenarios="1"/>
  <mergeCells count="8">
    <mergeCell ref="E5:E7"/>
    <mergeCell ref="J5:J7"/>
    <mergeCell ref="B3:B4"/>
    <mergeCell ref="C3:D3"/>
    <mergeCell ref="E3:E4"/>
    <mergeCell ref="G3:G4"/>
    <mergeCell ref="H3:I3"/>
    <mergeCell ref="J3:J4"/>
  </mergeCells>
  <phoneticPr fontId="3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10"/>
  <sheetViews>
    <sheetView workbookViewId="0"/>
  </sheetViews>
  <sheetFormatPr defaultRowHeight="13.5" x14ac:dyDescent="0.15"/>
  <cols>
    <col min="2" max="2" width="12.25" customWidth="1"/>
    <col min="3" max="3" width="15.875" customWidth="1"/>
    <col min="4" max="4" width="70.875" customWidth="1"/>
  </cols>
  <sheetData>
    <row r="1" spans="2:4" ht="14.25" thickBot="1" x14ac:dyDescent="0.2"/>
    <row r="2" spans="2:4" ht="25.5" customHeight="1" thickBot="1" x14ac:dyDescent="0.2">
      <c r="B2" s="743" t="s">
        <v>370</v>
      </c>
      <c r="C2" s="744"/>
      <c r="D2" s="745"/>
    </row>
    <row r="3" spans="2:4" ht="14.25" thickBot="1" x14ac:dyDescent="0.2"/>
    <row r="4" spans="2:4" ht="14.25" thickBot="1" x14ac:dyDescent="0.2">
      <c r="B4" s="576" t="s">
        <v>371</v>
      </c>
      <c r="C4" s="577" t="s">
        <v>372</v>
      </c>
      <c r="D4" s="578" t="s">
        <v>373</v>
      </c>
    </row>
    <row r="5" spans="2:4" x14ac:dyDescent="0.15">
      <c r="B5" s="579" t="s">
        <v>374</v>
      </c>
      <c r="C5" s="580" t="s">
        <v>376</v>
      </c>
      <c r="D5" s="581" t="s">
        <v>375</v>
      </c>
    </row>
    <row r="6" spans="2:4" x14ac:dyDescent="0.15">
      <c r="B6" s="582"/>
      <c r="C6" s="583"/>
      <c r="D6" s="584"/>
    </row>
    <row r="7" spans="2:4" x14ac:dyDescent="0.15">
      <c r="B7" s="582"/>
      <c r="C7" s="583"/>
      <c r="D7" s="584"/>
    </row>
    <row r="8" spans="2:4" x14ac:dyDescent="0.15">
      <c r="B8" s="582"/>
      <c r="C8" s="583"/>
      <c r="D8" s="585"/>
    </row>
    <row r="9" spans="2:4" x14ac:dyDescent="0.15">
      <c r="B9" s="582"/>
      <c r="C9" s="583"/>
      <c r="D9" s="585"/>
    </row>
    <row r="10" spans="2:4" ht="14.25" thickBot="1" x14ac:dyDescent="0.2">
      <c r="B10" s="586"/>
      <c r="C10" s="587"/>
      <c r="D10" s="588"/>
    </row>
  </sheetData>
  <mergeCells count="1">
    <mergeCell ref="B2:D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TOP</vt:lpstr>
      <vt:lpstr>graph_data</vt:lpstr>
      <vt:lpstr>data_FX10</vt:lpstr>
      <vt:lpstr>MEM_throughput</vt:lpstr>
      <vt:lpstr>Version</vt:lpstr>
      <vt:lpstr>TOP!Print_Area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inoue</dc:creator>
  <cp:lastModifiedBy>mineo</cp:lastModifiedBy>
  <cp:lastPrinted>2012-12-13T01:37:52Z</cp:lastPrinted>
  <dcterms:created xsi:type="dcterms:W3CDTF">2008-11-10T10:39:04Z</dcterms:created>
  <dcterms:modified xsi:type="dcterms:W3CDTF">2012-12-25T23:49:20Z</dcterms:modified>
</cp:coreProperties>
</file>